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Platform Settings" sheetId="3" state="visible" r:id="rId5"/>
    <sheet name="Weekly Input" sheetId="4" state="visible" r:id="rId6"/>
    <sheet name="Recruiter Activity" sheetId="5" state="visible" r:id="rId7"/>
    <sheet name="Recruiter Summary" sheetId="6" state="visible" r:id="rId8"/>
  </sheets>
  <definedNames>
    <definedName function="false" hidden="false" localSheetId="1" name="_xlnm.Print_Area" vbProcedure="false">Dashboard!$A$1:$L$52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<sst xmlns="http://schemas.openxmlformats.org/spreadsheetml/2006/main" count="1650" uniqueCount="467">
  <si>
    <t xml:space="preserve">HonorVet Job Portal Performance Tracker — Automated Pipeline</t>
  </si>
  <si>
    <t xml:space="preserve">This file is auto-generated</t>
  </si>
  <si>
    <t xml:space="preserve">Every tab below is regenerated from data/history/*.csv each time the pipeline runs. Do not hand-edit this workbook — edits will be overwritten on the next run. To correct or add data, edit the raw exports / manual CSV inputs and re-run the pipeline (or push to GitHub, if Actions is set up).</t>
  </si>
  <si>
    <t xml:space="preserve">Weekly Input &amp; Recruiter Activity</t>
  </si>
  <si>
    <t xml:space="preserve">Reflect the full accumulated history across every period the pipeline has processed, not just the latest one.</t>
  </si>
  <si>
    <t xml:space="preserve">Dashboard</t>
  </si>
  <si>
    <t xml:space="preserve">Always shows the most recent period, plus a trend chart across all periods once more than one exists.</t>
  </si>
  <si>
    <t xml:space="preserve">Cumulative vs. period figures</t>
  </si>
  <si>
    <t xml:space="preserve">Recruiter Activity values are this period's actual activity — for platforms whose raw export reports running totals (LinkedIn, Indeed, etc.), the pipeline has already subtracted the prior snapshot. Nothing here is a raw cumulative total.</t>
  </si>
  <si>
    <t xml:space="preserve">HonorVet — Job Portal Performance Dashboard</t>
  </si>
  <si>
    <t xml:space="preserve">Auto-updates from the pipeline. Always shows the most recent period logged.</t>
  </si>
  <si>
    <t xml:space="preserve">Period shown:</t>
  </si>
  <si>
    <t xml:space="preserve">TOTAL SPEND</t>
  </si>
  <si>
    <t xml:space="preserve">TOTAL SUBMISSIONS</t>
  </si>
  <si>
    <t xml:space="preserve">TOTAL INTERVIEWS</t>
  </si>
  <si>
    <t xml:space="preserve">TOTAL OFFERS</t>
  </si>
  <si>
    <t xml:space="preserve">OVERALL OFFER RATE</t>
  </si>
  <si>
    <t xml:space="preserve">AVG COST PER OFFER</t>
  </si>
  <si>
    <t xml:space="preserve">AVG RECRUITER UTILIZATION</t>
  </si>
  <si>
    <t xml:space="preserve">AVG VIEWS UTILIZATION</t>
  </si>
  <si>
    <t xml:space="preserve">Platform Performance — selected period</t>
  </si>
  <si>
    <t xml:space="preserve">Platform</t>
  </si>
  <si>
    <t xml:space="preserve">Cost ($)</t>
  </si>
  <si>
    <t xml:space="preserve">Active Recruiters</t>
  </si>
  <si>
    <t xml:space="preserve">Recruiters Assigned</t>
  </si>
  <si>
    <t xml:space="preserve">Active Recruiter %</t>
  </si>
  <si>
    <t xml:space="preserve">Views Utilization %</t>
  </si>
  <si>
    <t xml:space="preserve">Postings Utilization %</t>
  </si>
  <si>
    <t xml:space="preserve">Submissions</t>
  </si>
  <si>
    <t xml:space="preserve">Interviews</t>
  </si>
  <si>
    <t xml:space="preserve">Offers</t>
  </si>
  <si>
    <t xml:space="preserve">Cost / Offer</t>
  </si>
  <si>
    <t xml:space="preserve">Share of Total Offers</t>
  </si>
  <si>
    <t xml:space="preserve">TOTAL</t>
  </si>
  <si>
    <t xml:space="preserve">Trend by Period</t>
  </si>
  <si>
    <t xml:space="preserve">Period Ending</t>
  </si>
  <si>
    <t xml:space="preserve">Total Cost</t>
  </si>
  <si>
    <t xml:space="preserve">Total Submissions</t>
  </si>
  <si>
    <t xml:space="preserve">Total Interviews</t>
  </si>
  <si>
    <t xml:space="preserve">Total Offers</t>
  </si>
  <si>
    <t xml:space="preserve">Note: with only one period logged so far, the trend chart below will show a single point — it fills in automatically as the pipeline processes more weeks.</t>
  </si>
  <si>
    <t xml:space="preserve">Platform Settings — reference data</t>
  </si>
  <si>
    <t xml:space="preserve">Subscription Type</t>
  </si>
  <si>
    <t xml:space="preserve">Views/Unit Cap (value)</t>
  </si>
  <si>
    <t xml:space="preserve">Cap Period (Year/Month/Week)</t>
  </si>
  <si>
    <t xml:space="preserve">Daily Views/Unit Cap (auto)</t>
  </si>
  <si>
    <t xml:space="preserve">Postings Cap (concurrent, not prorated)</t>
  </si>
  <si>
    <t xml:space="preserve">Notes</t>
  </si>
  <si>
    <t xml:space="preserve">Vivian</t>
  </si>
  <si>
    <t xml:space="preserve">PREMIUM ELITE</t>
  </si>
  <si>
    <t xml:space="preserve">175/week (proposals)</t>
  </si>
  <si>
    <t xml:space="preserve">Cap is 6 hires/month (free max) + 25 proposals/hour, 175/week — not a raw view limit.</t>
  </si>
  <si>
    <t xml:space="preserve">Monster</t>
  </si>
  <si>
    <t xml:space="preserve">ENTERPRISE</t>
  </si>
  <si>
    <t xml:space="preserve">Year</t>
  </si>
  <si>
    <t xml:space="preserve">35</t>
  </si>
  <si>
    <t xml:space="preserve">Views cap = 270,000/year.</t>
  </si>
  <si>
    <t xml:space="preserve">Indeed</t>
  </si>
  <si>
    <t xml:space="preserve">BUDGET</t>
  </si>
  <si>
    <t xml:space="preserve">Unlimited</t>
  </si>
  <si>
    <t xml:space="preserve">Budget-based spend, not a fixed view cap.</t>
  </si>
  <si>
    <t xml:space="preserve">Job Diva</t>
  </si>
  <si>
    <t xml:space="preserve">ATS+DATABASE</t>
  </si>
  <si>
    <t xml:space="preserve">Internal DB (no limit)</t>
  </si>
  <si>
    <t xml:space="preserve">Own database; not a paid job board subscription.</t>
  </si>
  <si>
    <t xml:space="preserve">LinkedIn</t>
  </si>
  <si>
    <t xml:space="preserve">RECRUITER PRO</t>
  </si>
  <si>
    <t xml:space="preserve">111 total (85 US)</t>
  </si>
  <si>
    <t xml:space="preserve">Posting cap is a contract-term allotment, not weekly — track cumulative postings used against it.</t>
  </si>
  <si>
    <t xml:space="preserve">CareerBuilder</t>
  </si>
  <si>
    <t xml:space="preserve">STANDARD</t>
  </si>
  <si>
    <t xml:space="preserve">8</t>
  </si>
  <si>
    <t xml:space="preserve">Merged with Monster account; no separate view cap.</t>
  </si>
  <si>
    <t xml:space="preserve">Resume-Library</t>
  </si>
  <si>
    <t xml:space="preserve">Cap unit = unlocks/year.</t>
  </si>
  <si>
    <t xml:space="preserve">Dice</t>
  </si>
  <si>
    <t xml:space="preserve">Views cap = 50,000/year.</t>
  </si>
  <si>
    <t xml:space="preserve">Facebook</t>
  </si>
  <si>
    <t xml:space="preserve">Paid Groups</t>
  </si>
  <si>
    <t xml:space="preserve">10-recruiter seat pack; no view cap.</t>
  </si>
  <si>
    <t xml:space="preserve">DocCafe</t>
  </si>
  <si>
    <t xml:space="preserve">Month</t>
  </si>
  <si>
    <t xml:space="preserve">375 views/month; +5,000 mails/month tracked separately.</t>
  </si>
  <si>
    <t xml:space="preserve">Zoominfo</t>
  </si>
  <si>
    <t xml:space="preserve">No usage data received.</t>
  </si>
  <si>
    <t xml:space="preserve">SignalHire</t>
  </si>
  <si>
    <t xml:space="preserve">Recruiter click activity tracked in Recruiter Activity tab.</t>
  </si>
  <si>
    <t xml:space="preserve">Referred</t>
  </si>
  <si>
    <t xml:space="preserve">BONUS BASED</t>
  </si>
  <si>
    <t xml:space="preserve">Commission basis</t>
  </si>
  <si>
    <t xml:space="preserve">No subscription cost; pay-per-hire referral bonus.</t>
  </si>
  <si>
    <t xml:space="preserve">Weekly Input — auto-populated from the pipeline; do not hand-edit</t>
  </si>
  <si>
    <t xml:space="preserve">Views Used (this period)</t>
  </si>
  <si>
    <t xml:space="preserve">Period Views Cap</t>
  </si>
  <si>
    <t xml:space="preserve">Active Postings (current)</t>
  </si>
  <si>
    <t xml:space="preserve">Postings Cap</t>
  </si>
  <si>
    <t xml:space="preserve">Applications</t>
  </si>
  <si>
    <t xml:space="preserve">Contacts Made</t>
  </si>
  <si>
    <t xml:space="preserve">Responses Received</t>
  </si>
  <si>
    <t xml:space="preserve">Interviews Scheduled</t>
  </si>
  <si>
    <t xml:space="preserve">Offers Made</t>
  </si>
  <si>
    <t xml:space="preserve">Cost / Submission</t>
  </si>
  <si>
    <t xml:space="preserve">Cost / Interview</t>
  </si>
  <si>
    <t xml:space="preserve">Submission-&gt;Interview Rate</t>
  </si>
  <si>
    <t xml:space="preserve">Interview-&gt;Offer Rate</t>
  </si>
  <si>
    <t xml:space="preserve">Period Length (Days)</t>
  </si>
  <si>
    <t xml:space="preserve">Sheet5 (per-recruiter activity). No cost/submissions/interviews/offers in this export.</t>
  </si>
  <si>
    <t xml:space="preserve">Sheet9 (per-recruiter sourcing usage). Cost/submissions/interviews/offers not in this export.</t>
  </si>
  <si>
    <t xml:space="preserve">Usage Details tab. Figures are cumulative since contract start; pipeline computes period deltas.</t>
  </si>
  <si>
    <t xml:space="preserve">No per-recruiter activity in this export (roster only). Credit usage is cumulative for the current subscription term.</t>
  </si>
  <si>
    <t xml:space="preserve">Monthly Report tab, most recent month block found: August.</t>
  </si>
  <si>
    <t xml:space="preserve">Most recent monthly column found across account sheets: September 2026.</t>
  </si>
  <si>
    <t xml:space="preserve">Active Recruiters in Vivian tab (weekly proposal usage) + Active Jobs tab (current posting count).</t>
  </si>
  <si>
    <t xml:space="preserve">No raw export parsed for this platform this period.</t>
  </si>
  <si>
    <t xml:space="preserve">Recruiter Activity — auto-populated from the pipeline; do not hand-edit</t>
  </si>
  <si>
    <t xml:space="preserve">Recruiter</t>
  </si>
  <si>
    <t xml:space="preserve">Active This Period?</t>
  </si>
  <si>
    <t xml:space="preserve">Searches</t>
  </si>
  <si>
    <t xml:space="preserve">Profiles Viewed</t>
  </si>
  <si>
    <t xml:space="preserve">Outreach Sent</t>
  </si>
  <si>
    <t xml:space="preserve">Data Scope</t>
  </si>
  <si>
    <t xml:space="preserve">Deepak Sharma</t>
  </si>
  <si>
    <t xml:space="preserve">No</t>
  </si>
  <si>
    <t xml:space="preserve">This period only (first observation, no prior data to diff)</t>
  </si>
  <si>
    <t xml:space="preserve">Active days (cumulative): 33</t>
  </si>
  <si>
    <t xml:space="preserve">HonorVet Team</t>
  </si>
  <si>
    <t xml:space="preserve">Active days (cumulative): 37</t>
  </si>
  <si>
    <t xml:space="preserve">Shailesh Singh</t>
  </si>
  <si>
    <t xml:space="preserve">Active days (cumulative): 30</t>
  </si>
  <si>
    <t xml:space="preserve">alliedteam@honorvet.com</t>
  </si>
  <si>
    <t xml:space="preserve">Subscription: Professional</t>
  </si>
  <si>
    <t xml:space="preserve">Isha</t>
  </si>
  <si>
    <t xml:space="preserve">Nikshep</t>
  </si>
  <si>
    <t xml:space="preserve">Subscription: Trial</t>
  </si>
  <si>
    <t xml:space="preserve">shana.taylor@honorvettech.com</t>
  </si>
  <si>
    <t xml:space="preserve">Subscription: Standard</t>
  </si>
  <si>
    <t xml:space="preserve">Ajay T. (1595010518)</t>
  </si>
  <si>
    <t xml:space="preserve">Active days (cumulative): 72.0</t>
  </si>
  <si>
    <t xml:space="preserve">Suraj Kumar (1595588480)</t>
  </si>
  <si>
    <t xml:space="preserve">Active days (cumulative): 103.0</t>
  </si>
  <si>
    <t xml:space="preserve">Aksham Thakur (1603269395)</t>
  </si>
  <si>
    <t xml:space="preserve">Active days (cumulative): 37.0</t>
  </si>
  <si>
    <t xml:space="preserve">Deepak Sharma (1595590410)</t>
  </si>
  <si>
    <t xml:space="preserve">Active days (cumulative): 96.0</t>
  </si>
  <si>
    <t xml:space="preserve">Rajnish Kumar (1603863434)</t>
  </si>
  <si>
    <t xml:space="preserve">Active days (cumulative): 52.0</t>
  </si>
  <si>
    <t xml:space="preserve">SUBHADIP KUNDU (1605063733)</t>
  </si>
  <si>
    <t xml:space="preserve">Active days (cumulative): 32.0</t>
  </si>
  <si>
    <t xml:space="preserve">Ashi Mittal (1604081310)</t>
  </si>
  <si>
    <t xml:space="preserve">Active days (cumulative): 30.0</t>
  </si>
  <si>
    <t xml:space="preserve">Navneet Kaur (1603021747)</t>
  </si>
  <si>
    <t xml:space="preserve">Nishant Adwani (1595591193)</t>
  </si>
  <si>
    <t xml:space="preserve">Active days (cumulative): 28.0</t>
  </si>
  <si>
    <t xml:space="preserve">Harshita Kukreja (1596802845)</t>
  </si>
  <si>
    <t xml:space="preserve">Gunjan Sharma (1602245051)</t>
  </si>
  <si>
    <t xml:space="preserve">Active days (cumulative): 50.0</t>
  </si>
  <si>
    <t xml:space="preserve">Vivek Sharma (1600816673)</t>
  </si>
  <si>
    <t xml:space="preserve">Active days (cumulative): 39.0</t>
  </si>
  <si>
    <t xml:space="preserve">Nikita . (1593489727)</t>
  </si>
  <si>
    <t xml:space="preserve">Active days (cumulative): 62.0</t>
  </si>
  <si>
    <t xml:space="preserve">Nahvee Ali (1604366679)</t>
  </si>
  <si>
    <t xml:space="preserve">Active days (cumulative): 31.0</t>
  </si>
  <si>
    <t xml:space="preserve">Shikha Rana (1595592006)</t>
  </si>
  <si>
    <t xml:space="preserve">Active days (cumulative): 42.0</t>
  </si>
  <si>
    <t xml:space="preserve">Nimisha Singh (1595117038)</t>
  </si>
  <si>
    <t xml:space="preserve">Active days (cumulative): 53.0</t>
  </si>
  <si>
    <t xml:space="preserve">Shivangi Pathania (1595073836)</t>
  </si>
  <si>
    <t xml:space="preserve">Er.Amanpreet Singh (1609689374)</t>
  </si>
  <si>
    <t xml:space="preserve">Active days (cumulative): 7.0</t>
  </si>
  <si>
    <t xml:space="preserve">Shubham Abrol (1595590380)</t>
  </si>
  <si>
    <t xml:space="preserve">Active days (cumulative): 29.0</t>
  </si>
  <si>
    <t xml:space="preserve">Shailesh Singh (1600850353)</t>
  </si>
  <si>
    <t xml:space="preserve">Active days (cumulative): 18.0</t>
  </si>
  <si>
    <t xml:space="preserve">Nikita Sharma (1603525005)</t>
  </si>
  <si>
    <t xml:space="preserve">Active days (cumulative): 40.0</t>
  </si>
  <si>
    <t xml:space="preserve">Nitish Sharma (1595467080)</t>
  </si>
  <si>
    <t xml:space="preserve">Active days (cumulative): 61.0</t>
  </si>
  <si>
    <t xml:space="preserve">Saira Philips - (1595234096)</t>
  </si>
  <si>
    <t xml:space="preserve">Anuradha Chauhan (1593719400)</t>
  </si>
  <si>
    <t xml:space="preserve">Active days (cumulative): 12.0</t>
  </si>
  <si>
    <t xml:space="preserve">Parnika Gautam (1595583829)</t>
  </si>
  <si>
    <t xml:space="preserve">Active days (cumulative): 19.0</t>
  </si>
  <si>
    <t xml:space="preserve">Sakshi Tandon (Shana Taylor) (1594916839)</t>
  </si>
  <si>
    <t xml:space="preserve">Urvashi Mahajan (1595592002)</t>
  </si>
  <si>
    <t xml:space="preserve">Active days (cumulative): 24.0</t>
  </si>
  <si>
    <t xml:space="preserve">Nikshep Chatta (1604099796)</t>
  </si>
  <si>
    <t xml:space="preserve">Sachin Chouhan (1595153829)</t>
  </si>
  <si>
    <t xml:space="preserve">Heather Brown (1594962830)</t>
  </si>
  <si>
    <t xml:space="preserve">Eddy Bruce (1595214407)</t>
  </si>
  <si>
    <t xml:space="preserve">Active days (cumulative): 46.0</t>
  </si>
  <si>
    <t xml:space="preserve">Eric William (1595146705)</t>
  </si>
  <si>
    <t xml:space="preserve">Active days (cumulative): 33.0</t>
  </si>
  <si>
    <t xml:space="preserve">Sakshi Sharma (1603216802)</t>
  </si>
  <si>
    <t xml:space="preserve">Ashok Kumar (1595373577)</t>
  </si>
  <si>
    <t xml:space="preserve">Active days (cumulative): 76.0</t>
  </si>
  <si>
    <t xml:space="preserve">Guest Admin (1594651456)</t>
  </si>
  <si>
    <t xml:space="preserve">Active days (cumulative): 2.0</t>
  </si>
  <si>
    <t xml:space="preserve">Arfa Ali (Adina) (1596704665)</t>
  </si>
  <si>
    <t xml:space="preserve">Rhythm . (1594649020)</t>
  </si>
  <si>
    <t xml:space="preserve">Active days (cumulative): 70.0</t>
  </si>
  <si>
    <t xml:space="preserve">Patty V. (1603227490)</t>
  </si>
  <si>
    <t xml:space="preserve">Active days (cumulative): 34.0</t>
  </si>
  <si>
    <t xml:space="preserve">Sunita Chauhan (1594929595)</t>
  </si>
  <si>
    <t xml:space="preserve">Active days (cumulative): 64.0</t>
  </si>
  <si>
    <t xml:space="preserve">Shobhit Pathak (1594946998)</t>
  </si>
  <si>
    <t xml:space="preserve">Dhananjai Singh (1594978042)</t>
  </si>
  <si>
    <t xml:space="preserve">Aman Rana (1595448017)</t>
  </si>
  <si>
    <t xml:space="preserve">Active days (cumulative): 10.0</t>
  </si>
  <si>
    <t xml:space="preserve">Stacy Abrol (1595220116)</t>
  </si>
  <si>
    <t xml:space="preserve">Active days (cumulative): 14.0</t>
  </si>
  <si>
    <t xml:space="preserve">Rajeev Sharma (1595636557)</t>
  </si>
  <si>
    <t xml:space="preserve">Active days (cumulative): 60.0</t>
  </si>
  <si>
    <t xml:space="preserve">Abhishek Sharma (1595440441)</t>
  </si>
  <si>
    <t xml:space="preserve">Saniya Parveen (1595444406)</t>
  </si>
  <si>
    <t xml:space="preserve">Active days (cumulative): 23.0</t>
  </si>
  <si>
    <t xml:space="preserve">Himadri Maity (1596716241)</t>
  </si>
  <si>
    <t xml:space="preserve">Active days (cumulative): 11.0</t>
  </si>
  <si>
    <t xml:space="preserve">Mannu Mor (1601752991)</t>
  </si>
  <si>
    <t xml:space="preserve">Active days (cumulative): 13.0</t>
  </si>
  <si>
    <t xml:space="preserve">Asheesh Mahajan (1594992125)</t>
  </si>
  <si>
    <t xml:space="preserve">Harshita Sachdeva (1601773198)</t>
  </si>
  <si>
    <t xml:space="preserve">Andy Allen (1595410799)</t>
  </si>
  <si>
    <t xml:space="preserve">Christine Faverzani (1609095327)</t>
  </si>
  <si>
    <t xml:space="preserve">Active days (cumulative): 5.0</t>
  </si>
  <si>
    <t xml:space="preserve">Sumali Dogra (1594971061)</t>
  </si>
  <si>
    <t xml:space="preserve">Active days (cumulative): 16.0</t>
  </si>
  <si>
    <t xml:space="preserve">Aditee Singh (1594950957)</t>
  </si>
  <si>
    <t xml:space="preserve">Conor A (1595478072)</t>
  </si>
  <si>
    <t xml:space="preserve">Sapna Goswami (1601540665)</t>
  </si>
  <si>
    <t xml:space="preserve">Anjali Kumari (1606734735)</t>
  </si>
  <si>
    <t xml:space="preserve">Utsav Thakur (1595448018)</t>
  </si>
  <si>
    <t xml:space="preserve">Pooja S. (1595442631)</t>
  </si>
  <si>
    <t xml:space="preserve">Robin Koundal (1595487067)</t>
  </si>
  <si>
    <t xml:space="preserve">Kulbir Kumar (1595220471)</t>
  </si>
  <si>
    <t xml:space="preserve">Jasleen Kaur (1601143593)</t>
  </si>
  <si>
    <t xml:space="preserve">David M (1596163604)</t>
  </si>
  <si>
    <t xml:space="preserve">Bhawna . (1595009182)</t>
  </si>
  <si>
    <t xml:space="preserve">Active days (cumulative): 43.0</t>
  </si>
  <si>
    <t xml:space="preserve">Nandani Verma (1593749226)</t>
  </si>
  <si>
    <t xml:space="preserve">Active days (cumulative): 4.0</t>
  </si>
  <si>
    <t xml:space="preserve">Munish Gupta (1594839870)</t>
  </si>
  <si>
    <t xml:space="preserve">Active days (cumulative): 87.0</t>
  </si>
  <si>
    <t xml:space="preserve">Nia Vinson (1595410800)</t>
  </si>
  <si>
    <t xml:space="preserve">Active days (cumulative): 21.0</t>
  </si>
  <si>
    <t xml:space="preserve">Saniya Ansari (1596199688)</t>
  </si>
  <si>
    <t xml:space="preserve">Anshuman Singh (1594953935)</t>
  </si>
  <si>
    <t xml:space="preserve">Active days (cumulative): 1.0</t>
  </si>
  <si>
    <t xml:space="preserve">Yana Chakravorty (1610352590)</t>
  </si>
  <si>
    <t xml:space="preserve">Active days (cumulative): 3.0</t>
  </si>
  <si>
    <t xml:space="preserve">Amit Kumar (1594645045)</t>
  </si>
  <si>
    <t xml:space="preserve">Active days (cumulative): 22.0</t>
  </si>
  <si>
    <t xml:space="preserve">Alex Ross (1595148504)</t>
  </si>
  <si>
    <t xml:space="preserve">Shivansh Sanmotra (1595657376)</t>
  </si>
  <si>
    <t xml:space="preserve">Ravee Bhambri (1604082836)</t>
  </si>
  <si>
    <t xml:space="preserve">Priya Bharti (Prisha) (1596711255)</t>
  </si>
  <si>
    <t xml:space="preserve">Sean Carter (1594955881)</t>
  </si>
  <si>
    <t xml:space="preserve">Mohammad Talha (1500013949)</t>
  </si>
  <si>
    <t xml:space="preserve">Active days (cumulative): 6.0</t>
  </si>
  <si>
    <t xml:space="preserve">Abhishek Sharma (1595408847)</t>
  </si>
  <si>
    <t xml:space="preserve">Vin Smith (1595172073)</t>
  </si>
  <si>
    <t xml:space="preserve">Hiral chauhan (1601764718)</t>
  </si>
  <si>
    <t xml:space="preserve">Mack Ray (1595420190)</t>
  </si>
  <si>
    <t xml:space="preserve">Active days (cumulative): 17.0</t>
  </si>
  <si>
    <t xml:space="preserve">Ajay Lamba (1603223714)</t>
  </si>
  <si>
    <t xml:space="preserve">Shristi Rehni (1594945834)</t>
  </si>
  <si>
    <t xml:space="preserve">Richard Wilson (1595443344)</t>
  </si>
  <si>
    <t xml:space="preserve">Simran Bali (1595481060)</t>
  </si>
  <si>
    <t xml:space="preserve">Parth Madan (Peter Madison) (1595414544)</t>
  </si>
  <si>
    <t xml:space="preserve">Vaidik Tiwari (1596149557)</t>
  </si>
  <si>
    <t xml:space="preserve">Anshika Singh (1596771563)</t>
  </si>
  <si>
    <t xml:space="preserve">Active days (cumulative): 38.0</t>
  </si>
  <si>
    <t xml:space="preserve">Gursimran Singh (1609018816)</t>
  </si>
  <si>
    <t xml:space="preserve">Shana Taylor</t>
  </si>
  <si>
    <t xml:space="preserve">This period only</t>
  </si>
  <si>
    <t xml:space="preserve">Downloads: 0.0</t>
  </si>
  <si>
    <t xml:space="preserve">Polly Kay</t>
  </si>
  <si>
    <t xml:space="preserve">Ravi Bhambri</t>
  </si>
  <si>
    <t xml:space="preserve">Yes</t>
  </si>
  <si>
    <t xml:space="preserve">miles basson</t>
  </si>
  <si>
    <t xml:space="preserve">September 2026 clicks; account: Account 1; email: miles.basson@honorvettech.com</t>
  </si>
  <si>
    <t xml:space="preserve">sage parker</t>
  </si>
  <si>
    <t xml:space="preserve">September 2026 clicks; account: Account 1; email: sage.parker@honorvettech.com</t>
  </si>
  <si>
    <t xml:space="preserve">Suraj kumar</t>
  </si>
  <si>
    <t xml:space="preserve">September 2026 clicks; account: Account 1; email: Suraj.kumar@honorvet.com</t>
  </si>
  <si>
    <t xml:space="preserve">ashi mittal</t>
  </si>
  <si>
    <t xml:space="preserve">September 2026 clicks; account: Account 1; email: ashi.mittal@honorvet.com</t>
  </si>
  <si>
    <t xml:space="preserve">Aksham kumar</t>
  </si>
  <si>
    <t xml:space="preserve">September 2026 clicks; account: Account 1; email: aksham.kumar@honorvet.com</t>
  </si>
  <si>
    <t xml:space="preserve">deepak sharma1</t>
  </si>
  <si>
    <t xml:space="preserve">September 2026 clicks; account: Account 1; email: deepak.sharma1@honorvet.com</t>
  </si>
  <si>
    <t xml:space="preserve">gunjan sharma1</t>
  </si>
  <si>
    <t xml:space="preserve">September 2026 clicks; account: Account 1; email: gunjan.sharma1@honorvet.com</t>
  </si>
  <si>
    <t xml:space="preserve">paula scott</t>
  </si>
  <si>
    <t xml:space="preserve">September 2026 clicks; account: Account 1; email: paula.scott@honorvettech.com</t>
  </si>
  <si>
    <t xml:space="preserve">shailesh singh1</t>
  </si>
  <si>
    <t xml:space="preserve">September 2026 clicks; account: Account 1; email: shailesh.singh1@honorvet.com</t>
  </si>
  <si>
    <t xml:space="preserve">Asheesh Mahajan</t>
  </si>
  <si>
    <t xml:space="preserve">September 2026 clicks; account: Account 2; email: asheesh.mahajan@honorvettech.com</t>
  </si>
  <si>
    <t xml:space="preserve">Nikita Sharma</t>
  </si>
  <si>
    <t xml:space="preserve">September 2026 clicks; account: Account 2; email: nikita.sharma@honorvet.com</t>
  </si>
  <si>
    <t xml:space="preserve">Navneet Kaur</t>
  </si>
  <si>
    <t xml:space="preserve">September 2026 clicks; account: Account 2; email: Navneet.kaur@honorvet.com</t>
  </si>
  <si>
    <t xml:space="preserve">jasleen kaur1</t>
  </si>
  <si>
    <t xml:space="preserve">September 2026 clicks; account: Account 2; email: jasleen.kaur1@honorvet.com</t>
  </si>
  <si>
    <t xml:space="preserve">hiral chauhan1</t>
  </si>
  <si>
    <t xml:space="preserve">September 2026 clicks; account: Account 2; email: hiral.chauhan1@honorvet.com</t>
  </si>
  <si>
    <t xml:space="preserve">kulbir kumar1</t>
  </si>
  <si>
    <t xml:space="preserve">September 2026 clicks; account: Account 2; email: kulbir.kumar1@honorvet.com</t>
  </si>
  <si>
    <t xml:space="preserve">Sakshi Sharma</t>
  </si>
  <si>
    <t xml:space="preserve">September 2026 clicks; account: Account 2; email: sakshi.sharma@honorvet.com</t>
  </si>
  <si>
    <t xml:space="preserve">himadri maity1</t>
  </si>
  <si>
    <t xml:space="preserve">September 2026 clicks; account: Account 2; email: himadri.maity1@honorvet.com</t>
  </si>
  <si>
    <t xml:space="preserve">Rajnish Kumar</t>
  </si>
  <si>
    <t xml:space="preserve">September 2026 clicks; account: Account 2; email: Rajnish.kumar@honorvet.com</t>
  </si>
  <si>
    <t xml:space="preserve">nikshep chatta</t>
  </si>
  <si>
    <t xml:space="preserve">September 2026 clicks; account: Account 2; email: nikshep.chatta@honorvet.com</t>
  </si>
  <si>
    <t xml:space="preserve">Nahvee Ali</t>
  </si>
  <si>
    <t xml:space="preserve">September 2026 clicks; account: Account 2; email: nahvee.ali@honorvet.com</t>
  </si>
  <si>
    <t xml:space="preserve">shruti mishra</t>
  </si>
  <si>
    <t xml:space="preserve">September 2026 clicks; account: Account 2; email: shruti.mishra@honorvet.com</t>
  </si>
  <si>
    <t xml:space="preserve">Gursimran Singh</t>
  </si>
  <si>
    <t xml:space="preserve">September 2026 clicks; account: Account 2; email: Gursimran.Singh@honorvet.com</t>
  </si>
  <si>
    <t xml:space="preserve">christine faverzani</t>
  </si>
  <si>
    <t xml:space="preserve">September 2026 clicks; account: Account 2; email: christine.faverzani@honorvet.com</t>
  </si>
  <si>
    <t xml:space="preserve">Sumer Kent</t>
  </si>
  <si>
    <t xml:space="preserve">September 2026 clicks; account: Account 3; email: sumer.kent@honorvet.com</t>
  </si>
  <si>
    <t xml:space="preserve">sean carter</t>
  </si>
  <si>
    <t xml:space="preserve">September 2026 clicks; account: Account 3; email: sean.carter@honorvettech.com</t>
  </si>
  <si>
    <t xml:space="preserve">alton sadler</t>
  </si>
  <si>
    <t xml:space="preserve">September 2026 clicks; account: Account 3; email: alton.sadler@honorvettech.com</t>
  </si>
  <si>
    <t xml:space="preserve">September 2026 clicks; account: Account 3; email: shana.taylor@honorvettech.com</t>
  </si>
  <si>
    <t xml:space="preserve">khushi thapar</t>
  </si>
  <si>
    <t xml:space="preserve">September 2026 clicks; account: Account 3; email: khushi.thapar@honorvet.com</t>
  </si>
  <si>
    <t xml:space="preserve">Shubham Bisht</t>
  </si>
  <si>
    <t xml:space="preserve">September 2026 clicks; account: Account 3; email: shubham.bisht@honorvet.com</t>
  </si>
  <si>
    <t xml:space="preserve">Tulsi Arya</t>
  </si>
  <si>
    <t xml:space="preserve">September 2026 clicks; account: Account 3; email: tulsi.arya@honorvet.com</t>
  </si>
  <si>
    <t xml:space="preserve">Sam Rekhi</t>
  </si>
  <si>
    <t xml:space="preserve">September 2026 clicks; account: Account 3; email: Sam.R@honorvettech.com</t>
  </si>
  <si>
    <t xml:space="preserve">Surbhi Bhardwaj</t>
  </si>
  <si>
    <t xml:space="preserve">September 2026 clicks; account: Account 3; email: surbhi.Bhardwaj@honorvet.com</t>
  </si>
  <si>
    <t xml:space="preserve">Harshika Loomba</t>
  </si>
  <si>
    <t xml:space="preserve">September 2026 clicks; account: Account 3; email: harshika.loomba@honorvet.com</t>
  </si>
  <si>
    <t xml:space="preserve">angelina smith</t>
  </si>
  <si>
    <t xml:space="preserve">September 2026 clicks; account: Account 3; email: angelina.smith@honorvet.com</t>
  </si>
  <si>
    <t xml:space="preserve">Shivangi Pathania</t>
  </si>
  <si>
    <t xml:space="preserve">September 2026 clicks; account: Account 4; email: shivangi.pathania@honorvettech.com</t>
  </si>
  <si>
    <t xml:space="preserve">Davian Snow</t>
  </si>
  <si>
    <t xml:space="preserve">September 2026 clicks; account: Account 4; email: davian.snow@honorvettech.com</t>
  </si>
  <si>
    <t xml:space="preserve">Nikita Bhatti</t>
  </si>
  <si>
    <t xml:space="preserve">September 2026 clicks; account: Account 4; email: nikita.bhatti@honorvet.com</t>
  </si>
  <si>
    <t xml:space="preserve">Sandy Parks</t>
  </si>
  <si>
    <t xml:space="preserve">September 2026 clicks; account: Account 4; email: sandy.parks@honorvettech.com</t>
  </si>
  <si>
    <t xml:space="preserve">sunita chauhan1</t>
  </si>
  <si>
    <t xml:space="preserve">September 2026 clicks; account: Account 4; email: sunita.chauhan1@honorvettech.com</t>
  </si>
  <si>
    <t xml:space="preserve">Nitish sharma1</t>
  </si>
  <si>
    <t xml:space="preserve">September 2026 clicks; account: Account 4; email: Nitish.sharma1@honorvet.com</t>
  </si>
  <si>
    <t xml:space="preserve">Vivek Kumar1</t>
  </si>
  <si>
    <t xml:space="preserve">September 2026 clicks; account: Account 4; email: vivek.Kumar1@honorvet.com</t>
  </si>
  <si>
    <t xml:space="preserve">Shivansh Sanmotra1</t>
  </si>
  <si>
    <t xml:space="preserve">September 2026 clicks; account: Account 4; email: Shivansh.Sanmotra1@honorvet.com</t>
  </si>
  <si>
    <t xml:space="preserve">Nimi singh1</t>
  </si>
  <si>
    <t xml:space="preserve">September 2026 clicks; account: Account 4; email: nimi.singh1@honorvet.com</t>
  </si>
  <si>
    <t xml:space="preserve">Adam Smith</t>
  </si>
  <si>
    <t xml:space="preserve">Proposal cap: 50.0/wk; Status: Enabled; Resp rate: 1; Resp time: 3m</t>
  </si>
  <si>
    <t xml:space="preserve">Ajay Lamba</t>
  </si>
  <si>
    <t xml:space="preserve">Proposal cap: 50.0/wk; Status: Enabled; Resp rate: 1; Resp time: 1h 9m</t>
  </si>
  <si>
    <t xml:space="preserve">Alex Ross</t>
  </si>
  <si>
    <t xml:space="preserve">Proposal cap: 50.0/wk; Status: Enabled; Resp rate: 1; Resp time: 5m</t>
  </si>
  <si>
    <t xml:space="preserve">Alton Sadler</t>
  </si>
  <si>
    <t xml:space="preserve">Proposal cap: 50.0/wk; Status: Enabled; Resp rate: 1; Resp time: 1m</t>
  </si>
  <si>
    <t xml:space="preserve">Anamika Verma</t>
  </si>
  <si>
    <t xml:space="preserve">Proposal cap: 50.0/wk; Status: Enabled; Resp rate: 1; Resp time: 0m</t>
  </si>
  <si>
    <t xml:space="preserve">Andy Allen</t>
  </si>
  <si>
    <t xml:space="preserve">Angelina Smith</t>
  </si>
  <si>
    <t xml:space="preserve">Proposal cap: 100.0/wk; Status: Enabled; Resp rate: 1; Resp time: 3m</t>
  </si>
  <si>
    <t xml:space="preserve">Ankit Gupta</t>
  </si>
  <si>
    <t xml:space="preserve">Archie Rich</t>
  </si>
  <si>
    <t xml:space="preserve">Proposal cap: 40.0/wk; Status: Enabled; Resp rate: 1; Resp time: 1m</t>
  </si>
  <si>
    <t xml:space="preserve">Arthur Swift</t>
  </si>
  <si>
    <t xml:space="preserve">Proposal cap: 40.0/wk; Status: Disabled; Resp rate: 0; Resp time: N/A</t>
  </si>
  <si>
    <t xml:space="preserve">Proposal cap: 175.0/wk; Status: Disabled; Resp rate: 0; Resp time: N/A</t>
  </si>
  <si>
    <t xml:space="preserve">Cameron Greene</t>
  </si>
  <si>
    <t xml:space="preserve">Christine Faverzani</t>
  </si>
  <si>
    <t xml:space="preserve">Conor A</t>
  </si>
  <si>
    <t xml:space="preserve">Proposal cap: 40.0/wk; Status: Enabled; Resp rate: 1; Resp time: 4m</t>
  </si>
  <si>
    <t xml:space="preserve">Proposal cap: 50.0/wk; Status: Enabled; Resp rate: 0; Resp time: N/A</t>
  </si>
  <si>
    <t xml:space="preserve">Eric William</t>
  </si>
  <si>
    <t xml:space="preserve">Proposal cap: 50.0/wk; Status: Enabled; Resp rate: 1; Resp time: 4m</t>
  </si>
  <si>
    <t xml:space="preserve">Geetanjali Sharma</t>
  </si>
  <si>
    <t xml:space="preserve">Gemma Saylor</t>
  </si>
  <si>
    <t xml:space="preserve">Gunjan Sharma</t>
  </si>
  <si>
    <t xml:space="preserve">Proposal cap: 100.0/wk; Status: Enabled; Resp rate: 1; Resp time: 5m</t>
  </si>
  <si>
    <t xml:space="preserve">Proposal cap: 100.0/wk; Status: Enabled; Resp rate: 1; Resp time: 16m</t>
  </si>
  <si>
    <t xml:space="preserve">Harshita Kukreja</t>
  </si>
  <si>
    <t xml:space="preserve">Heather Brown</t>
  </si>
  <si>
    <t xml:space="preserve">Proposal cap: 50.0/wk; Status: Enabled; Resp rate: 1; Resp time: 10m</t>
  </si>
  <si>
    <t xml:space="preserve">Himadri Maity</t>
  </si>
  <si>
    <t xml:space="preserve">Proposal cap: 40.0/wk; Status: Enabled; Resp rate: 1; Resp time: 10m</t>
  </si>
  <si>
    <t xml:space="preserve">Hiral Chauhan</t>
  </si>
  <si>
    <t xml:space="preserve">Jane Parker</t>
  </si>
  <si>
    <t xml:space="preserve">Proposal cap: 50.0/wk; Status: Enabled; Resp rate: 1; Resp time: 12m</t>
  </si>
  <si>
    <t xml:space="preserve">Jasleen Kaur</t>
  </si>
  <si>
    <t xml:space="preserve">Jennifer Louis</t>
  </si>
  <si>
    <t xml:space="preserve">Komal Preet</t>
  </si>
  <si>
    <t xml:space="preserve">Kulbir Kumar</t>
  </si>
  <si>
    <t xml:space="preserve">Lipakshi Bhatt</t>
  </si>
  <si>
    <t xml:space="preserve">Proposal cap: 44.0/wk; Status: Enabled; Resp rate: 1; Resp time: 3m</t>
  </si>
  <si>
    <t xml:space="preserve">Mack Ray</t>
  </si>
  <si>
    <t xml:space="preserve">Proposal cap: 40.0/wk; Status: Enabled; Resp rate: 0.93; Resp time: 1m</t>
  </si>
  <si>
    <t xml:space="preserve">Mannu Mor</t>
  </si>
  <si>
    <t xml:space="preserve">Proposal cap: 50.0/wk; Status: Enabled; Resp rate: 1; Resp time: 25m</t>
  </si>
  <si>
    <t xml:space="preserve">Namita Saylor</t>
  </si>
  <si>
    <t xml:space="preserve">Nia Vinson</t>
  </si>
  <si>
    <t xml:space="preserve">Proposal cap: 40.0/wk; Status: Enabled; Resp rate: 1; Resp time: 5m</t>
  </si>
  <si>
    <t xml:space="preserve">Nimi Singh</t>
  </si>
  <si>
    <t xml:space="preserve">Nimrit Singh</t>
  </si>
  <si>
    <t xml:space="preserve">Proposal cap: 50.0/wk; Status: Enabled; Resp rate: 0.97; Resp time: 4m</t>
  </si>
  <si>
    <t xml:space="preserve">Nitish Sharma</t>
  </si>
  <si>
    <t xml:space="preserve">Proposal cap: 80.0/wk; Status: Enabled; Resp rate: 1; Resp time: 1m</t>
  </si>
  <si>
    <t xml:space="preserve">Peter Madison</t>
  </si>
  <si>
    <t xml:space="preserve">Proposal cap: 40.0/wk; Status: Enabled; Resp rate: 1; Resp time: 5h 34m</t>
  </si>
  <si>
    <t xml:space="preserve">Prisha Smith</t>
  </si>
  <si>
    <t xml:space="preserve">Proposal cap: 50.0/wk; Status: Enabled; Resp rate: 0.99; Resp time: 4m</t>
  </si>
  <si>
    <t xml:space="preserve">Robby Kohler</t>
  </si>
  <si>
    <t xml:space="preserve">Proposal cap: 50.0/wk; Status: Enabled; Resp rate: 0.98; Resp time: 6m</t>
  </si>
  <si>
    <t xml:space="preserve">Salena Alder</t>
  </si>
  <si>
    <t xml:space="preserve">Sam Snyder</t>
  </si>
  <si>
    <t xml:space="preserve">Samantha Parks</t>
  </si>
  <si>
    <t xml:space="preserve">Proposal cap: 40.0/wk; Status: Enabled; Resp rate: 0.92; Resp time: 5m</t>
  </si>
  <si>
    <t xml:space="preserve">Samira Ray</t>
  </si>
  <si>
    <t xml:space="preserve">Proposal cap: 50.0/wk; Status: Enabled; Resp rate: 0.98; Resp time: 10m</t>
  </si>
  <si>
    <t xml:space="preserve">Sapna Sharma</t>
  </si>
  <si>
    <t xml:space="preserve">Sean Carter</t>
  </si>
  <si>
    <t xml:space="preserve">Proposal cap: 50.0/wk; Status: Enabled; Resp rate: 1; Resp time: 7m</t>
  </si>
  <si>
    <t xml:space="preserve">Shelley Daniel</t>
  </si>
  <si>
    <t xml:space="preserve">Proposal cap: 50.0/wk; Status: Enabled; Resp rate: 0.96; Resp time: 1m</t>
  </si>
  <si>
    <t xml:space="preserve">Shivansh Samotra</t>
  </si>
  <si>
    <t xml:space="preserve">Proposal cap: 50.0/wk; Status: Enabled; Resp rate: 1; Resp time: 4h 19m</t>
  </si>
  <si>
    <t xml:space="preserve">Shruti Mishra</t>
  </si>
  <si>
    <t xml:space="preserve">Proposal cap: 96.0/wk; Status: Enabled; Resp rate: 1; Resp time: 10m</t>
  </si>
  <si>
    <t xml:space="preserve">Shubham Abrol</t>
  </si>
  <si>
    <t xml:space="preserve">Proposal cap: 50.0/wk; Status: Enabled; Resp rate: 1; Resp time: 1h 14m</t>
  </si>
  <si>
    <t xml:space="preserve">Simran Kohler</t>
  </si>
  <si>
    <t xml:space="preserve">Proposal cap: 50.0/wk; Status: Enabled; Resp rate: 1; Resp time: 11m</t>
  </si>
  <si>
    <t xml:space="preserve">Sonam Rajput</t>
  </si>
  <si>
    <t xml:space="preserve">Stacy Abrol</t>
  </si>
  <si>
    <t xml:space="preserve">Proposal cap: 40.0/wk; Status: Enabled; Resp rate: 0; Resp time: N/A</t>
  </si>
  <si>
    <t xml:space="preserve">Sunita Chauhan</t>
  </si>
  <si>
    <t xml:space="preserve">Proposal cap: 175.0/wk; Status: Disabled; Resp rate: 1; Resp time: 4m</t>
  </si>
  <si>
    <t xml:space="preserve">Talha Zuberi</t>
  </si>
  <si>
    <t xml:space="preserve">Tara .</t>
  </si>
  <si>
    <t xml:space="preserve">Proposal cap: 50.0/wk; Status: Enabled; Resp rate: 1; Resp time: 2m</t>
  </si>
  <si>
    <t xml:space="preserve">Urvashi Mahajan</t>
  </si>
  <si>
    <t xml:space="preserve">Proposal cap: 40.0/wk; Status: Enabled; Resp rate: 1; Resp time: 1d 12h</t>
  </si>
  <si>
    <t xml:space="preserve">Vaidik Tiwari</t>
  </si>
  <si>
    <t xml:space="preserve">Proposal cap: 50.0/wk; Status: Enabled; Resp rate: 1; Resp time: 7h 13m</t>
  </si>
  <si>
    <t xml:space="preserve">Vivek Kumar</t>
  </si>
  <si>
    <t xml:space="preserve">Yana Chakravorty</t>
  </si>
  <si>
    <t xml:space="preserve">Harshita Sachdeva</t>
  </si>
  <si>
    <t xml:space="preserve">Recruiter Summary — auto-calculated across all periods (no manual entry)</t>
  </si>
  <si>
    <t xml:space="preserve">Periods Logged</t>
  </si>
  <si>
    <t xml:space="preserve">Total Searches</t>
  </si>
  <si>
    <t xml:space="preserve">Total Profiles Viewed</t>
  </si>
  <si>
    <t xml:space="preserve">Total Outreach Sent</t>
  </si>
  <si>
    <t xml:space="preserve">Total Responses</t>
  </si>
  <si>
    <t xml:space="preserve">Response Rate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</si>
</sst>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m\ d&quot;, &quot;yyyy"/>
    <numFmt numFmtId="166" formatCode="\$#,##0;&quot;($&quot;#,##0\);\-"/>
    <numFmt numFmtId="167" formatCode="#,##0;\(#,##0\);\-"/>
    <numFmt numFmtId="168" formatCode="0.0%;\(0.0%\);\-"/>
    <numFmt numFmtId="169" formatCode="General"/>
    <numFmt numFmtId="170" formatCode="mm/dd/yyyy"/>
    <numFmt numFmtId="171" formatCode="\$#,##0.00;&quot;($&quot;#,##0.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B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Cost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Dashboard!$A$14:$A$26</c:f>
              <c:strCache>
                <c:ptCount val="13"/>
                <c:pt idx="0">
                  <c:v>Vivian</c:v>
                </c:pt>
                <c:pt idx="1">
                  <c:v>Monster</c:v>
                </c:pt>
                <c:pt idx="2">
                  <c:v>Indeed</c:v>
                </c:pt>
                <c:pt idx="3">
                  <c:v>Job Diva</c:v>
                </c:pt>
                <c:pt idx="4">
                  <c:v>LinkedIn</c:v>
                </c:pt>
                <c:pt idx="5">
                  <c:v>CareerBuilder</c:v>
                </c:pt>
                <c:pt idx="6">
                  <c:v>Resume-Library</c:v>
                </c:pt>
                <c:pt idx="7">
                  <c:v>Dice</c:v>
                </c:pt>
                <c:pt idx="8">
                  <c:v>Facebook</c:v>
                </c:pt>
                <c:pt idx="9">
                  <c:v>DocCafe</c:v>
                </c:pt>
                <c:pt idx="10">
                  <c:v>Zoominfo</c:v>
                </c:pt>
                <c:pt idx="11">
                  <c:v>SignalHire</c:v>
                </c:pt>
                <c:pt idx="12">
                  <c:v>Referred</c:v>
                </c:pt>
              </c:strCache>
            </c:strRef>
          </c:cat>
          <c:val>
            <c:numRef>
              <c:f>Dashboard!$B$14:$B$26</c:f>
              <c:numCache>
                <c:formatCode>\$#,##0;"($"#,##0\);\-</c:formatCode>
                <c:ptCount val="13"/>
                <c:pt idx="0">
                  <c:v>3750</c:v>
                </c:pt>
                <c:pt idx="1">
                  <c:v>1332.815</c:v>
                </c:pt>
                <c:pt idx="2">
                  <c:v>1527.2</c:v>
                </c:pt>
                <c:pt idx="3">
                  <c:v>1075</c:v>
                </c:pt>
                <c:pt idx="4">
                  <c:v>2816</c:v>
                </c:pt>
                <c:pt idx="5">
                  <c:v>968.5</c:v>
                </c:pt>
                <c:pt idx="6">
                  <c:v>125</c:v>
                </c:pt>
                <c:pt idx="7">
                  <c:v>869.225</c:v>
                </c:pt>
                <c:pt idx="8">
                  <c:v>291.65</c:v>
                </c:pt>
                <c:pt idx="9">
                  <c:v>791.665</c:v>
                </c:pt>
                <c:pt idx="10">
                  <c:v>0</c:v>
                </c:pt>
                <c:pt idx="11">
                  <c:v>0</c:v>
                </c:pt>
                <c:pt idx="12">
                  <c:v>250</c:v>
                </c:pt>
              </c:numCache>
            </c:numRef>
          </c:val>
        </c:ser>
        <c:gapWidth val="150"/>
        <c:overlap val="0"/>
        <c:axId val="69009946"/>
        <c:axId val="83267830"/>
      </c:barChart>
      <c:catAx>
        <c:axId val="69009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67830"/>
        <c:crosses val="autoZero"/>
        <c:auto val="1"/>
        <c:lblAlgn val="ctr"/>
        <c:lblOffset val="100"/>
        <c:noMultiLvlLbl val="0"/>
      </c:catAx>
      <c:valAx>
        <c:axId val="83267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09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Offers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Dashboard!J13</c:f>
              <c:strCache>
                <c:ptCount val="1"/>
                <c:pt idx="0">
                  <c:v>Offers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Dashboard!$A$14:$A$26</c:f>
              <c:strCache>
                <c:ptCount val="13"/>
                <c:pt idx="0">
                  <c:v>Vivian</c:v>
                </c:pt>
                <c:pt idx="1">
                  <c:v>Monster</c:v>
                </c:pt>
                <c:pt idx="2">
                  <c:v>Indeed</c:v>
                </c:pt>
                <c:pt idx="3">
                  <c:v>Job Diva</c:v>
                </c:pt>
                <c:pt idx="4">
                  <c:v>LinkedIn</c:v>
                </c:pt>
                <c:pt idx="5">
                  <c:v>CareerBuilder</c:v>
                </c:pt>
                <c:pt idx="6">
                  <c:v>Resume-Library</c:v>
                </c:pt>
                <c:pt idx="7">
                  <c:v>Dice</c:v>
                </c:pt>
                <c:pt idx="8">
                  <c:v>Facebook</c:v>
                </c:pt>
                <c:pt idx="9">
                  <c:v>DocCafe</c:v>
                </c:pt>
                <c:pt idx="10">
                  <c:v>Zoominfo</c:v>
                </c:pt>
                <c:pt idx="11">
                  <c:v>SignalHire</c:v>
                </c:pt>
                <c:pt idx="12">
                  <c:v>Referred</c:v>
                </c:pt>
              </c:strCache>
            </c:strRef>
          </c:cat>
          <c:val>
            <c:numRef>
              <c:f>Dashboard!$J$14:$J$26</c:f>
              <c:numCache>
                <c:formatCode>General</c:formatCode>
                <c:ptCount val="13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</c:ser>
        <c:gapWidth val="150"/>
        <c:overlap val="0"/>
        <c:axId val="12448564"/>
        <c:axId val="88852616"/>
      </c:barChart>
      <c:catAx>
        <c:axId val="124485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52616"/>
        <c:crosses val="autoZero"/>
        <c:auto val="1"/>
        <c:lblAlgn val="ctr"/>
        <c:lblOffset val="100"/>
        <c:noMultiLvlLbl val="0"/>
      </c:catAx>
      <c:valAx>
        <c:axId val="88852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Offers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485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Recruiter %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Dashboard!E13</c:f>
              <c:strCache>
                <c:ptCount val="1"/>
                <c:pt idx="0">
                  <c:v>Active Recruiter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Dashboard!$A$14:$A$26</c:f>
              <c:strCache>
                <c:ptCount val="13"/>
                <c:pt idx="0">
                  <c:v>Vivian</c:v>
                </c:pt>
                <c:pt idx="1">
                  <c:v>Monster</c:v>
                </c:pt>
                <c:pt idx="2">
                  <c:v>Indeed</c:v>
                </c:pt>
                <c:pt idx="3">
                  <c:v>Job Diva</c:v>
                </c:pt>
                <c:pt idx="4">
                  <c:v>LinkedIn</c:v>
                </c:pt>
                <c:pt idx="5">
                  <c:v>CareerBuilder</c:v>
                </c:pt>
                <c:pt idx="6">
                  <c:v>Resume-Library</c:v>
                </c:pt>
                <c:pt idx="7">
                  <c:v>Dice</c:v>
                </c:pt>
                <c:pt idx="8">
                  <c:v>Facebook</c:v>
                </c:pt>
                <c:pt idx="9">
                  <c:v>DocCafe</c:v>
                </c:pt>
                <c:pt idx="10">
                  <c:v>Zoominfo</c:v>
                </c:pt>
                <c:pt idx="11">
                  <c:v>SignalHire</c:v>
                </c:pt>
                <c:pt idx="12">
                  <c:v>Referred</c:v>
                </c:pt>
              </c:strCache>
            </c:strRef>
          </c:cat>
          <c:val>
            <c:numRef>
              <c:f>Dashboard!$E$14:$E$26</c:f>
              <c:numCache>
                <c:formatCode>0.0%;\(0.0%\);\-</c:formatCode>
                <c:ptCount val="13"/>
                <c:pt idx="0">
                  <c:v>0.405797101449275</c:v>
                </c:pt>
                <c:pt idx="2">
                  <c:v>0</c:v>
                </c:pt>
                <c:pt idx="4">
                  <c:v>0</c:v>
                </c:pt>
                <c:pt idx="6">
                  <c:v>0.333333333333333</c:v>
                </c:pt>
                <c:pt idx="9">
                  <c:v>0</c:v>
                </c:pt>
                <c:pt idx="11">
                  <c:v>1</c:v>
                </c:pt>
              </c:numCache>
            </c:numRef>
          </c:val>
        </c:ser>
        <c:gapWidth val="150"/>
        <c:overlap val="0"/>
        <c:axId val="12490611"/>
        <c:axId val="33337672"/>
      </c:barChart>
      <c:catAx>
        <c:axId val="12490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37672"/>
        <c:crosses val="autoZero"/>
        <c:auto val="1"/>
        <c:lblAlgn val="ctr"/>
        <c:lblOffset val="100"/>
        <c:noMultiLvlLbl val="0"/>
      </c:catAx>
      <c:valAx>
        <c:axId val="33337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90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78120</xdr:rowOff>
    </xdr:from>
    <xdr:to>
      <xdr:col>5</xdr:col>
      <xdr:colOff>317160</xdr:colOff>
      <xdr:row>48</xdr:row>
      <xdr:rowOff>100080</xdr:rowOff>
    </xdr:to>
    <xdr:graphicFrame>
      <xdr:nvGraphicFramePr>
        <xdr:cNvPr id="0" name="Chart 1"/>
        <xdr:cNvGraphicFramePr/>
      </xdr:nvGraphicFramePr>
      <xdr:xfrm>
        <a:off x="0" y="6991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33</xdr:row>
      <xdr:rowOff>78120</xdr:rowOff>
    </xdr:from>
    <xdr:to>
      <xdr:col>10</xdr:col>
      <xdr:colOff>176400</xdr:colOff>
      <xdr:row>48</xdr:row>
      <xdr:rowOff>100080</xdr:rowOff>
    </xdr:to>
    <xdr:graphicFrame>
      <xdr:nvGraphicFramePr>
        <xdr:cNvPr id="1" name="Chart 2"/>
        <xdr:cNvGraphicFramePr/>
      </xdr:nvGraphicFramePr>
      <xdr:xfrm>
        <a:off x="3806280" y="6991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33</xdr:row>
      <xdr:rowOff>78120</xdr:rowOff>
    </xdr:from>
    <xdr:to>
      <xdr:col>15</xdr:col>
      <xdr:colOff>174240</xdr:colOff>
      <xdr:row>48</xdr:row>
      <xdr:rowOff>100080</xdr:rowOff>
    </xdr:to>
    <xdr:graphicFrame>
      <xdr:nvGraphicFramePr>
        <xdr:cNvPr id="2" name="Chart 3"/>
        <xdr:cNvGraphicFramePr/>
      </xdr:nvGraphicFramePr>
      <xdr:xfrm>
        <a:off x="7330320" y="6991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9.75" hidden="false" customHeight="true" outlineLevel="0" collapsed="false">
      <c r="A3" s="2" t="s">
        <v>1</v>
      </c>
      <c r="B3" s="3" t="s">
        <v>2</v>
      </c>
    </row>
    <row r="5" customFormat="false" ht="39.75" hidden="false" customHeight="true" outlineLevel="0" collapsed="false">
      <c r="A5" s="2" t="s">
        <v>3</v>
      </c>
      <c r="B5" s="3" t="s">
        <v>4</v>
      </c>
    </row>
    <row r="7" customFormat="false" ht="39.75" hidden="false" customHeight="true" outlineLevel="0" collapsed="false">
      <c r="A7" s="2" t="s">
        <v>5</v>
      </c>
      <c r="B7" s="3" t="s">
        <v>6</v>
      </c>
    </row>
    <row r="9" customFormat="false" ht="39.75" hidden="false" customHeight="true" outlineLevel="0" collapsed="false">
      <c r="A9" s="2" t="s">
        <v>7</v>
      </c>
      <c r="B9" s="3" t="s"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false" outlineLevel="0" collapsed="false">
      <c r="A3" s="6" t="s">
        <v>11</v>
      </c>
      <c r="B3" s="7" t="n">
        <f aca="false">MAX('Weekly Input'!$A:$A)</f>
        <v>46280</v>
      </c>
      <c r="C3" s="7"/>
      <c r="D3" s="7"/>
    </row>
    <row r="5" customFormat="false" ht="15" hidden="false" customHeight="false" outlineLevel="0" collapsed="false">
      <c r="A5" s="8" t="s">
        <v>12</v>
      </c>
      <c r="B5" s="8"/>
      <c r="C5" s="8"/>
      <c r="D5" s="8" t="s">
        <v>13</v>
      </c>
      <c r="E5" s="8"/>
      <c r="F5" s="8"/>
      <c r="G5" s="8" t="s">
        <v>14</v>
      </c>
      <c r="H5" s="8"/>
      <c r="I5" s="8"/>
      <c r="J5" s="8" t="s">
        <v>15</v>
      </c>
      <c r="K5" s="8"/>
      <c r="L5" s="8"/>
    </row>
    <row r="6" customFormat="false" ht="15" hidden="false" customHeight="false" outlineLevel="0" collapsed="false">
      <c r="A6" s="9" t="n">
        <f aca="false">B27</f>
        <v>13797.055</v>
      </c>
      <c r="B6" s="9"/>
      <c r="C6" s="9"/>
      <c r="D6" s="10" t="n">
        <f aca="false">H27</f>
        <v>287</v>
      </c>
      <c r="E6" s="10"/>
      <c r="F6" s="10"/>
      <c r="G6" s="10" t="n">
        <f aca="false">I27</f>
        <v>37</v>
      </c>
      <c r="H6" s="10"/>
      <c r="I6" s="10"/>
      <c r="J6" s="10" t="n">
        <f aca="false">J27</f>
        <v>25</v>
      </c>
      <c r="K6" s="10"/>
      <c r="L6" s="10"/>
    </row>
    <row r="7" customFormat="false" ht="15" hidden="false" customHeight="false" outlineLevel="0" collapsed="false">
      <c r="A7" s="9"/>
      <c r="B7" s="9"/>
      <c r="C7" s="9"/>
      <c r="D7" s="10"/>
      <c r="E7" s="10"/>
      <c r="F7" s="10"/>
      <c r="G7" s="10"/>
      <c r="H7" s="10"/>
      <c r="I7" s="10"/>
      <c r="J7" s="10"/>
      <c r="K7" s="10"/>
      <c r="L7" s="10"/>
    </row>
    <row r="9" customFormat="false" ht="15" hidden="false" customHeight="false" outlineLevel="0" collapsed="false">
      <c r="A9" s="8" t="s">
        <v>16</v>
      </c>
      <c r="B9" s="8"/>
      <c r="C9" s="8"/>
      <c r="D9" s="8" t="s">
        <v>17</v>
      </c>
      <c r="E9" s="8"/>
      <c r="F9" s="8"/>
      <c r="G9" s="8" t="s">
        <v>18</v>
      </c>
      <c r="H9" s="8"/>
      <c r="I9" s="8"/>
      <c r="J9" s="8" t="s">
        <v>19</v>
      </c>
      <c r="K9" s="8"/>
      <c r="L9" s="8"/>
    </row>
    <row r="10" customFormat="false" ht="15" hidden="false" customHeight="false" outlineLevel="0" collapsed="false">
      <c r="A10" s="11" t="n">
        <f aca="false">IFERROR(J27/H27,"-")</f>
        <v>0.0871080139372822</v>
      </c>
      <c r="B10" s="11"/>
      <c r="C10" s="11"/>
      <c r="D10" s="9" t="n">
        <f aca="false">K27</f>
        <v>551.8822</v>
      </c>
      <c r="E10" s="9"/>
      <c r="F10" s="9"/>
      <c r="G10" s="11" t="n">
        <f aca="false">IFERROR(AVERAGE(E14:E26),"-")</f>
        <v>0.289855072463768</v>
      </c>
      <c r="H10" s="11"/>
      <c r="I10" s="11"/>
      <c r="J10" s="11" t="n">
        <f aca="false">IFERROR(AVERAGE(F14:F26),"-")</f>
        <v>0.124911111111111</v>
      </c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9"/>
      <c r="E11" s="9"/>
      <c r="F11" s="9"/>
      <c r="G11" s="11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36" hidden="false" customHeight="true" outlineLevel="0" collapsed="false">
      <c r="A13" s="13" t="s">
        <v>21</v>
      </c>
      <c r="B13" s="13" t="s">
        <v>22</v>
      </c>
      <c r="C13" s="13" t="s">
        <v>23</v>
      </c>
      <c r="D13" s="13" t="s">
        <v>24</v>
      </c>
      <c r="E13" s="13" t="s">
        <v>25</v>
      </c>
      <c r="F13" s="13" t="s">
        <v>26</v>
      </c>
      <c r="G13" s="13" t="s">
        <v>27</v>
      </c>
      <c r="H13" s="13" t="s">
        <v>28</v>
      </c>
      <c r="I13" s="13" t="s">
        <v>29</v>
      </c>
      <c r="J13" s="13" t="s">
        <v>30</v>
      </c>
      <c r="K13" s="13" t="s">
        <v>31</v>
      </c>
      <c r="L13" s="13" t="s">
        <v>32</v>
      </c>
    </row>
    <row r="14" customFormat="false" ht="15" hidden="false" customHeight="false" outlineLevel="0" collapsed="false">
      <c r="A14" s="14" t="str">
        <f aca="false">'Platform Settings'!A4</f>
        <v>Vivian</v>
      </c>
      <c r="B14" s="15" t="n">
        <f aca="false">SUMIFS('Weekly Input'!$C:$C,'Weekly Input'!$B:$B,A14,'Weekly Input'!$A:$A,$B$3)</f>
        <v>3750</v>
      </c>
      <c r="C14" s="14" t="n">
        <f aca="false">SUMIFS('Weekly Input'!$E:$E,'Weekly Input'!$B:$B,A14,'Weekly Input'!$A:$A,$B$3)</f>
        <v>28</v>
      </c>
      <c r="D14" s="14" t="n">
        <f aca="false">SUMIFS('Weekly Input'!$D:$D,'Weekly Input'!$B:$B,A14,'Weekly Input'!$A:$A,$B$3)</f>
        <v>69</v>
      </c>
      <c r="E14" s="16" t="n">
        <f aca="false">IFERROR(C14/D14,"")</f>
        <v>0.405797101449275</v>
      </c>
      <c r="F14" s="16" t="str">
        <f aca="false">IFERROR(SUMIFS('Weekly Input'!$G:$G,'Weekly Input'!$B:$B,A14,'Weekly Input'!$A:$A,$B$3)/SUMIFS('Weekly Input'!$H:$H,'Weekly Input'!$B:$B,A14,'Weekly Input'!$A:$A,$B$3),"N/A")</f>
        <v>N/A</v>
      </c>
      <c r="G14" s="16" t="str">
        <f aca="false">IFERROR(SUMIFS('Weekly Input'!$J:$J,'Weekly Input'!$B:$B,A14,'Weekly Input'!$A:$A,$B$3)/SUMIFS('Weekly Input'!$K:$K,'Weekly Input'!$B:$B,A14,'Weekly Input'!$A:$A,$B$3),"N/A")</f>
        <v>N/A</v>
      </c>
      <c r="H14" s="14" t="n">
        <f aca="false">SUMIFS('Weekly Input'!$P:$P,'Weekly Input'!$B:$B,A14,'Weekly Input'!$A:$A,$B$3)</f>
        <v>37</v>
      </c>
      <c r="I14" s="14" t="n">
        <f aca="false">SUMIFS('Weekly Input'!$Q:$Q,'Weekly Input'!$B:$B,A14,'Weekly Input'!$A:$A,$B$3)</f>
        <v>0</v>
      </c>
      <c r="J14" s="17" t="n">
        <f aca="false">SUMIFS('Weekly Input'!$R:$R,'Weekly Input'!$B:$B,A14,'Weekly Input'!$A:$A,$B$3)</f>
        <v>9</v>
      </c>
      <c r="K14" s="15" t="n">
        <f aca="false">IFERROR(B14/J14,"")</f>
        <v>416.666666666667</v>
      </c>
      <c r="L14" s="16" t="n">
        <f aca="false">IFERROR(J14/J$27,"")</f>
        <v>0.36</v>
      </c>
    </row>
    <row r="15" customFormat="false" ht="15" hidden="false" customHeight="false" outlineLevel="0" collapsed="false">
      <c r="A15" s="14" t="str">
        <f aca="false">'Platform Settings'!A5</f>
        <v>Monster</v>
      </c>
      <c r="B15" s="15" t="n">
        <f aca="false">SUMIFS('Weekly Input'!$C:$C,'Weekly Input'!$B:$B,A15,'Weekly Input'!$A:$A,$B$3)</f>
        <v>1332.815</v>
      </c>
      <c r="C15" s="14" t="n">
        <f aca="false">SUMIFS('Weekly Input'!$E:$E,'Weekly Input'!$B:$B,A15,'Weekly Input'!$A:$A,$B$3)</f>
        <v>0</v>
      </c>
      <c r="D15" s="14" t="n">
        <f aca="false">SUMIFS('Weekly Input'!$D:$D,'Weekly Input'!$B:$B,A15,'Weekly Input'!$A:$A,$B$3)</f>
        <v>0</v>
      </c>
      <c r="E15" s="16" t="str">
        <f aca="false">IFERROR(C15/D15,"")</f>
        <v/>
      </c>
      <c r="F15" s="16" t="n">
        <f aca="false">IFERROR(SUMIFS('Weekly Input'!$G:$G,'Weekly Input'!$B:$B,A15,'Weekly Input'!$A:$A,$B$3)/SUMIFS('Weekly Input'!$H:$H,'Weekly Input'!$B:$B,A15,'Weekly Input'!$A:$A,$B$3),"N/A")</f>
        <v>0</v>
      </c>
      <c r="G15" s="16" t="str">
        <f aca="false">IFERROR(SUMIFS('Weekly Input'!$J:$J,'Weekly Input'!$B:$B,A15,'Weekly Input'!$A:$A,$B$3)/SUMIFS('Weekly Input'!$K:$K,'Weekly Input'!$B:$B,A15,'Weekly Input'!$A:$A,$B$3),"N/A")</f>
        <v>N/A</v>
      </c>
      <c r="H15" s="14" t="n">
        <f aca="false">SUMIFS('Weekly Input'!$P:$P,'Weekly Input'!$B:$B,A15,'Weekly Input'!$A:$A,$B$3)</f>
        <v>39</v>
      </c>
      <c r="I15" s="14" t="n">
        <f aca="false">SUMIFS('Weekly Input'!$Q:$Q,'Weekly Input'!$B:$B,A15,'Weekly Input'!$A:$A,$B$3)</f>
        <v>4</v>
      </c>
      <c r="J15" s="17" t="n">
        <f aca="false">SUMIFS('Weekly Input'!$R:$R,'Weekly Input'!$B:$B,A15,'Weekly Input'!$A:$A,$B$3)</f>
        <v>1</v>
      </c>
      <c r="K15" s="15" t="n">
        <f aca="false">IFERROR(B15/J15,"")</f>
        <v>1332.815</v>
      </c>
      <c r="L15" s="16" t="n">
        <f aca="false">IFERROR(J15/J$27,"")</f>
        <v>0.04</v>
      </c>
    </row>
    <row r="16" customFormat="false" ht="15" hidden="false" customHeight="false" outlineLevel="0" collapsed="false">
      <c r="A16" s="14" t="str">
        <f aca="false">'Platform Settings'!A6</f>
        <v>Indeed</v>
      </c>
      <c r="B16" s="15" t="n">
        <f aca="false">SUMIFS('Weekly Input'!$C:$C,'Weekly Input'!$B:$B,A16,'Weekly Input'!$A:$A,$B$3)</f>
        <v>1527.2</v>
      </c>
      <c r="C16" s="14" t="n">
        <f aca="false">SUMIFS('Weekly Input'!$E:$E,'Weekly Input'!$B:$B,A16,'Weekly Input'!$A:$A,$B$3)</f>
        <v>0</v>
      </c>
      <c r="D16" s="14" t="n">
        <f aca="false">SUMIFS('Weekly Input'!$D:$D,'Weekly Input'!$B:$B,A16,'Weekly Input'!$A:$A,$B$3)</f>
        <v>4</v>
      </c>
      <c r="E16" s="16" t="n">
        <f aca="false">IFERROR(C16/D16,"")</f>
        <v>0</v>
      </c>
      <c r="F16" s="16" t="str">
        <f aca="false">IFERROR(SUMIFS('Weekly Input'!$G:$G,'Weekly Input'!$B:$B,A16,'Weekly Input'!$A:$A,$B$3)/SUMIFS('Weekly Input'!$H:$H,'Weekly Input'!$B:$B,A16,'Weekly Input'!$A:$A,$B$3),"N/A")</f>
        <v>N/A</v>
      </c>
      <c r="G16" s="16" t="str">
        <f aca="false">IFERROR(SUMIFS('Weekly Input'!$J:$J,'Weekly Input'!$B:$B,A16,'Weekly Input'!$A:$A,$B$3)/SUMIFS('Weekly Input'!$K:$K,'Weekly Input'!$B:$B,A16,'Weekly Input'!$A:$A,$B$3),"N/A")</f>
        <v>N/A</v>
      </c>
      <c r="H16" s="14" t="n">
        <f aca="false">SUMIFS('Weekly Input'!$P:$P,'Weekly Input'!$B:$B,A16,'Weekly Input'!$A:$A,$B$3)</f>
        <v>33</v>
      </c>
      <c r="I16" s="14" t="n">
        <f aca="false">SUMIFS('Weekly Input'!$Q:$Q,'Weekly Input'!$B:$B,A16,'Weekly Input'!$A:$A,$B$3)</f>
        <v>8</v>
      </c>
      <c r="J16" s="17" t="n">
        <f aca="false">SUMIFS('Weekly Input'!$R:$R,'Weekly Input'!$B:$B,A16,'Weekly Input'!$A:$A,$B$3)</f>
        <v>2</v>
      </c>
      <c r="K16" s="15" t="n">
        <f aca="false">IFERROR(B16/J16,"")</f>
        <v>763.6</v>
      </c>
      <c r="L16" s="16" t="n">
        <f aca="false">IFERROR(J16/J$27,"")</f>
        <v>0.08</v>
      </c>
    </row>
    <row r="17" customFormat="false" ht="15" hidden="false" customHeight="false" outlineLevel="0" collapsed="false">
      <c r="A17" s="14" t="str">
        <f aca="false">'Platform Settings'!A7</f>
        <v>Job Diva</v>
      </c>
      <c r="B17" s="15" t="n">
        <f aca="false">SUMIFS('Weekly Input'!$C:$C,'Weekly Input'!$B:$B,A17,'Weekly Input'!$A:$A,$B$3)</f>
        <v>1075</v>
      </c>
      <c r="C17" s="14" t="n">
        <f aca="false">SUMIFS('Weekly Input'!$E:$E,'Weekly Input'!$B:$B,A17,'Weekly Input'!$A:$A,$B$3)</f>
        <v>0</v>
      </c>
      <c r="D17" s="14" t="n">
        <f aca="false">SUMIFS('Weekly Input'!$D:$D,'Weekly Input'!$B:$B,A17,'Weekly Input'!$A:$A,$B$3)</f>
        <v>0</v>
      </c>
      <c r="E17" s="16" t="str">
        <f aca="false">IFERROR(C17/D17,"")</f>
        <v/>
      </c>
      <c r="F17" s="16" t="str">
        <f aca="false">IFERROR(SUMIFS('Weekly Input'!$G:$G,'Weekly Input'!$B:$B,A17,'Weekly Input'!$A:$A,$B$3)/SUMIFS('Weekly Input'!$H:$H,'Weekly Input'!$B:$B,A17,'Weekly Input'!$A:$A,$B$3),"N/A")</f>
        <v>N/A</v>
      </c>
      <c r="G17" s="16" t="str">
        <f aca="false">IFERROR(SUMIFS('Weekly Input'!$J:$J,'Weekly Input'!$B:$B,A17,'Weekly Input'!$A:$A,$B$3)/SUMIFS('Weekly Input'!$K:$K,'Weekly Input'!$B:$B,A17,'Weekly Input'!$A:$A,$B$3),"N/A")</f>
        <v>N/A</v>
      </c>
      <c r="H17" s="14" t="n">
        <f aca="false">SUMIFS('Weekly Input'!$P:$P,'Weekly Input'!$B:$B,A17,'Weekly Input'!$A:$A,$B$3)</f>
        <v>88</v>
      </c>
      <c r="I17" s="14" t="n">
        <f aca="false">SUMIFS('Weekly Input'!$Q:$Q,'Weekly Input'!$B:$B,A17,'Weekly Input'!$A:$A,$B$3)</f>
        <v>6</v>
      </c>
      <c r="J17" s="17" t="n">
        <f aca="false">SUMIFS('Weekly Input'!$R:$R,'Weekly Input'!$B:$B,A17,'Weekly Input'!$A:$A,$B$3)</f>
        <v>8</v>
      </c>
      <c r="K17" s="15" t="n">
        <f aca="false">IFERROR(B17/J17,"")</f>
        <v>134.375</v>
      </c>
      <c r="L17" s="16" t="n">
        <f aca="false">IFERROR(J17/J$27,"")</f>
        <v>0.32</v>
      </c>
    </row>
    <row r="18" customFormat="false" ht="15" hidden="false" customHeight="false" outlineLevel="0" collapsed="false">
      <c r="A18" s="14" t="str">
        <f aca="false">'Platform Settings'!A8</f>
        <v>LinkedIn</v>
      </c>
      <c r="B18" s="15" t="n">
        <f aca="false">SUMIFS('Weekly Input'!$C:$C,'Weekly Input'!$B:$B,A18,'Weekly Input'!$A:$A,$B$3)</f>
        <v>2816</v>
      </c>
      <c r="C18" s="14" t="n">
        <f aca="false">SUMIFS('Weekly Input'!$E:$E,'Weekly Input'!$B:$B,A18,'Weekly Input'!$A:$A,$B$3)</f>
        <v>0</v>
      </c>
      <c r="D18" s="14" t="n">
        <f aca="false">SUMIFS('Weekly Input'!$D:$D,'Weekly Input'!$B:$B,A18,'Weekly Input'!$A:$A,$B$3)</f>
        <v>89</v>
      </c>
      <c r="E18" s="16" t="n">
        <f aca="false">IFERROR(C18/D18,"")</f>
        <v>0</v>
      </c>
      <c r="F18" s="16" t="str">
        <f aca="false">IFERROR(SUMIFS('Weekly Input'!$G:$G,'Weekly Input'!$B:$B,A18,'Weekly Input'!$A:$A,$B$3)/SUMIFS('Weekly Input'!$H:$H,'Weekly Input'!$B:$B,A18,'Weekly Input'!$A:$A,$B$3),"N/A")</f>
        <v>N/A</v>
      </c>
      <c r="G18" s="16" t="str">
        <f aca="false">IFERROR(SUMIFS('Weekly Input'!$J:$J,'Weekly Input'!$B:$B,A18,'Weekly Input'!$A:$A,$B$3)/SUMIFS('Weekly Input'!$K:$K,'Weekly Input'!$B:$B,A18,'Weekly Input'!$A:$A,$B$3),"N/A")</f>
        <v>N/A</v>
      </c>
      <c r="H18" s="14" t="n">
        <f aca="false">SUMIFS('Weekly Input'!$P:$P,'Weekly Input'!$B:$B,A18,'Weekly Input'!$A:$A,$B$3)</f>
        <v>37</v>
      </c>
      <c r="I18" s="14" t="n">
        <f aca="false">SUMIFS('Weekly Input'!$Q:$Q,'Weekly Input'!$B:$B,A18,'Weekly Input'!$A:$A,$B$3)</f>
        <v>12</v>
      </c>
      <c r="J18" s="17" t="n">
        <f aca="false">SUMIFS('Weekly Input'!$R:$R,'Weekly Input'!$B:$B,A18,'Weekly Input'!$A:$A,$B$3)</f>
        <v>0</v>
      </c>
      <c r="K18" s="15" t="str">
        <f aca="false">IFERROR(B18/J18,"")</f>
        <v/>
      </c>
      <c r="L18" s="16" t="n">
        <f aca="false">IFERROR(J18/J$27,"")</f>
        <v>0</v>
      </c>
    </row>
    <row r="19" customFormat="false" ht="15" hidden="false" customHeight="false" outlineLevel="0" collapsed="false">
      <c r="A19" s="14" t="str">
        <f aca="false">'Platform Settings'!A9</f>
        <v>CareerBuilder</v>
      </c>
      <c r="B19" s="15" t="n">
        <f aca="false">SUMIFS('Weekly Input'!$C:$C,'Weekly Input'!$B:$B,A19,'Weekly Input'!$A:$A,$B$3)</f>
        <v>968.5</v>
      </c>
      <c r="C19" s="14" t="n">
        <f aca="false">SUMIFS('Weekly Input'!$E:$E,'Weekly Input'!$B:$B,A19,'Weekly Input'!$A:$A,$B$3)</f>
        <v>0</v>
      </c>
      <c r="D19" s="14" t="n">
        <f aca="false">SUMIFS('Weekly Input'!$D:$D,'Weekly Input'!$B:$B,A19,'Weekly Input'!$A:$A,$B$3)</f>
        <v>0</v>
      </c>
      <c r="E19" s="16" t="str">
        <f aca="false">IFERROR(C19/D19,"")</f>
        <v/>
      </c>
      <c r="F19" s="16" t="str">
        <f aca="false">IFERROR(SUMIFS('Weekly Input'!$G:$G,'Weekly Input'!$B:$B,A19,'Weekly Input'!$A:$A,$B$3)/SUMIFS('Weekly Input'!$H:$H,'Weekly Input'!$B:$B,A19,'Weekly Input'!$A:$A,$B$3),"N/A")</f>
        <v>N/A</v>
      </c>
      <c r="G19" s="16" t="str">
        <f aca="false">IFERROR(SUMIFS('Weekly Input'!$J:$J,'Weekly Input'!$B:$B,A19,'Weekly Input'!$A:$A,$B$3)/SUMIFS('Weekly Input'!$K:$K,'Weekly Input'!$B:$B,A19,'Weekly Input'!$A:$A,$B$3),"N/A")</f>
        <v>N/A</v>
      </c>
      <c r="H19" s="14" t="n">
        <f aca="false">SUMIFS('Weekly Input'!$P:$P,'Weekly Input'!$B:$B,A19,'Weekly Input'!$A:$A,$B$3)</f>
        <v>19</v>
      </c>
      <c r="I19" s="14" t="n">
        <f aca="false">SUMIFS('Weekly Input'!$Q:$Q,'Weekly Input'!$B:$B,A19,'Weekly Input'!$A:$A,$B$3)</f>
        <v>1</v>
      </c>
      <c r="J19" s="17" t="n">
        <f aca="false">SUMIFS('Weekly Input'!$R:$R,'Weekly Input'!$B:$B,A19,'Weekly Input'!$A:$A,$B$3)</f>
        <v>1</v>
      </c>
      <c r="K19" s="15" t="n">
        <f aca="false">IFERROR(B19/J19,"")</f>
        <v>968.5</v>
      </c>
      <c r="L19" s="16" t="n">
        <f aca="false">IFERROR(J19/J$27,"")</f>
        <v>0.04</v>
      </c>
    </row>
    <row r="20" customFormat="false" ht="15" hidden="false" customHeight="false" outlineLevel="0" collapsed="false">
      <c r="A20" s="14" t="str">
        <f aca="false">'Platform Settings'!A10</f>
        <v>Resume-Library</v>
      </c>
      <c r="B20" s="15" t="n">
        <f aca="false">SUMIFS('Weekly Input'!$C:$C,'Weekly Input'!$B:$B,A20,'Weekly Input'!$A:$A,$B$3)</f>
        <v>125</v>
      </c>
      <c r="C20" s="14" t="n">
        <f aca="false">SUMIFS('Weekly Input'!$E:$E,'Weekly Input'!$B:$B,A20,'Weekly Input'!$A:$A,$B$3)</f>
        <v>1</v>
      </c>
      <c r="D20" s="14" t="n">
        <f aca="false">SUMIFS('Weekly Input'!$D:$D,'Weekly Input'!$B:$B,A20,'Weekly Input'!$A:$A,$B$3)</f>
        <v>3</v>
      </c>
      <c r="E20" s="16" t="n">
        <f aca="false">IFERROR(C20/D20,"")</f>
        <v>0.333333333333333</v>
      </c>
      <c r="F20" s="16" t="n">
        <f aca="false">IFERROR(SUMIFS('Weekly Input'!$G:$G,'Weekly Input'!$B:$B,A20,'Weekly Input'!$A:$A,$B$3)/SUMIFS('Weekly Input'!$H:$H,'Weekly Input'!$B:$B,A20,'Weekly Input'!$A:$A,$B$3),"N/A")</f>
        <v>0.499644444444444</v>
      </c>
      <c r="G20" s="16" t="str">
        <f aca="false">IFERROR(SUMIFS('Weekly Input'!$J:$J,'Weekly Input'!$B:$B,A20,'Weekly Input'!$A:$A,$B$3)/SUMIFS('Weekly Input'!$K:$K,'Weekly Input'!$B:$B,A20,'Weekly Input'!$A:$A,$B$3),"N/A")</f>
        <v>N/A</v>
      </c>
      <c r="H20" s="14" t="n">
        <f aca="false">SUMIFS('Weekly Input'!$P:$P,'Weekly Input'!$B:$B,A20,'Weekly Input'!$A:$A,$B$3)</f>
        <v>9</v>
      </c>
      <c r="I20" s="14" t="n">
        <f aca="false">SUMIFS('Weekly Input'!$Q:$Q,'Weekly Input'!$B:$B,A20,'Weekly Input'!$A:$A,$B$3)</f>
        <v>3</v>
      </c>
      <c r="J20" s="17" t="n">
        <f aca="false">SUMIFS('Weekly Input'!$R:$R,'Weekly Input'!$B:$B,A20,'Weekly Input'!$A:$A,$B$3)</f>
        <v>1</v>
      </c>
      <c r="K20" s="15" t="n">
        <f aca="false">IFERROR(B20/J20,"")</f>
        <v>125</v>
      </c>
      <c r="L20" s="16" t="n">
        <f aca="false">IFERROR(J20/J$27,"")</f>
        <v>0.04</v>
      </c>
    </row>
    <row r="21" customFormat="false" ht="15" hidden="false" customHeight="false" outlineLevel="0" collapsed="false">
      <c r="A21" s="14" t="str">
        <f aca="false">'Platform Settings'!A11</f>
        <v>Dice</v>
      </c>
      <c r="B21" s="15" t="n">
        <f aca="false">SUMIFS('Weekly Input'!$C:$C,'Weekly Input'!$B:$B,A21,'Weekly Input'!$A:$A,$B$3)</f>
        <v>869.225</v>
      </c>
      <c r="C21" s="14" t="n">
        <f aca="false">SUMIFS('Weekly Input'!$E:$E,'Weekly Input'!$B:$B,A21,'Weekly Input'!$A:$A,$B$3)</f>
        <v>0</v>
      </c>
      <c r="D21" s="14" t="n">
        <f aca="false">SUMIFS('Weekly Input'!$D:$D,'Weekly Input'!$B:$B,A21,'Weekly Input'!$A:$A,$B$3)</f>
        <v>0</v>
      </c>
      <c r="E21" s="16" t="str">
        <f aca="false">IFERROR(C21/D21,"")</f>
        <v/>
      </c>
      <c r="F21" s="16" t="n">
        <f aca="false">IFERROR(SUMIFS('Weekly Input'!$G:$G,'Weekly Input'!$B:$B,A21,'Weekly Input'!$A:$A,$B$3)/SUMIFS('Weekly Input'!$H:$H,'Weekly Input'!$B:$B,A21,'Weekly Input'!$A:$A,$B$3),"N/A")</f>
        <v>0</v>
      </c>
      <c r="G21" s="16" t="str">
        <f aca="false">IFERROR(SUMIFS('Weekly Input'!$J:$J,'Weekly Input'!$B:$B,A21,'Weekly Input'!$A:$A,$B$3)/SUMIFS('Weekly Input'!$K:$K,'Weekly Input'!$B:$B,A21,'Weekly Input'!$A:$A,$B$3),"N/A")</f>
        <v>N/A</v>
      </c>
      <c r="H21" s="14" t="n">
        <f aca="false">SUMIFS('Weekly Input'!$P:$P,'Weekly Input'!$B:$B,A21,'Weekly Input'!$A:$A,$B$3)</f>
        <v>10</v>
      </c>
      <c r="I21" s="14" t="n">
        <f aca="false">SUMIFS('Weekly Input'!$Q:$Q,'Weekly Input'!$B:$B,A21,'Weekly Input'!$A:$A,$B$3)</f>
        <v>3</v>
      </c>
      <c r="J21" s="17" t="n">
        <f aca="false">SUMIFS('Weekly Input'!$R:$R,'Weekly Input'!$B:$B,A21,'Weekly Input'!$A:$A,$B$3)</f>
        <v>0</v>
      </c>
      <c r="K21" s="15" t="str">
        <f aca="false">IFERROR(B21/J21,"")</f>
        <v/>
      </c>
      <c r="L21" s="16" t="n">
        <f aca="false">IFERROR(J21/J$27,"")</f>
        <v>0</v>
      </c>
    </row>
    <row r="22" customFormat="false" ht="15" hidden="false" customHeight="false" outlineLevel="0" collapsed="false">
      <c r="A22" s="14" t="str">
        <f aca="false">'Platform Settings'!A12</f>
        <v>Facebook</v>
      </c>
      <c r="B22" s="15" t="n">
        <f aca="false">SUMIFS('Weekly Input'!$C:$C,'Weekly Input'!$B:$B,A22,'Weekly Input'!$A:$A,$B$3)</f>
        <v>291.65</v>
      </c>
      <c r="C22" s="14" t="n">
        <f aca="false">SUMIFS('Weekly Input'!$E:$E,'Weekly Input'!$B:$B,A22,'Weekly Input'!$A:$A,$B$3)</f>
        <v>0</v>
      </c>
      <c r="D22" s="14" t="n">
        <f aca="false">SUMIFS('Weekly Input'!$D:$D,'Weekly Input'!$B:$B,A22,'Weekly Input'!$A:$A,$B$3)</f>
        <v>0</v>
      </c>
      <c r="E22" s="16" t="str">
        <f aca="false">IFERROR(C22/D22,"")</f>
        <v/>
      </c>
      <c r="F22" s="16" t="str">
        <f aca="false">IFERROR(SUMIFS('Weekly Input'!$G:$G,'Weekly Input'!$B:$B,A22,'Weekly Input'!$A:$A,$B$3)/SUMIFS('Weekly Input'!$H:$H,'Weekly Input'!$B:$B,A22,'Weekly Input'!$A:$A,$B$3),"N/A")</f>
        <v>N/A</v>
      </c>
      <c r="G22" s="16" t="str">
        <f aca="false">IFERROR(SUMIFS('Weekly Input'!$J:$J,'Weekly Input'!$B:$B,A22,'Weekly Input'!$A:$A,$B$3)/SUMIFS('Weekly Input'!$K:$K,'Weekly Input'!$B:$B,A22,'Weekly Input'!$A:$A,$B$3),"N/A")</f>
        <v>N/A</v>
      </c>
      <c r="H22" s="14" t="n">
        <f aca="false">SUMIFS('Weekly Input'!$P:$P,'Weekly Input'!$B:$B,A22,'Weekly Input'!$A:$A,$B$3)</f>
        <v>7</v>
      </c>
      <c r="I22" s="14" t="n">
        <f aca="false">SUMIFS('Weekly Input'!$Q:$Q,'Weekly Input'!$B:$B,A22,'Weekly Input'!$A:$A,$B$3)</f>
        <v>0</v>
      </c>
      <c r="J22" s="17" t="n">
        <f aca="false">SUMIFS('Weekly Input'!$R:$R,'Weekly Input'!$B:$B,A22,'Weekly Input'!$A:$A,$B$3)</f>
        <v>2</v>
      </c>
      <c r="K22" s="15" t="n">
        <f aca="false">IFERROR(B22/J22,"")</f>
        <v>145.825</v>
      </c>
      <c r="L22" s="16" t="n">
        <f aca="false">IFERROR(J22/J$27,"")</f>
        <v>0.08</v>
      </c>
    </row>
    <row r="23" customFormat="false" ht="15" hidden="false" customHeight="false" outlineLevel="0" collapsed="false">
      <c r="A23" s="14" t="str">
        <f aca="false">'Platform Settings'!A13</f>
        <v>DocCafe</v>
      </c>
      <c r="B23" s="15" t="n">
        <f aca="false">SUMIFS('Weekly Input'!$C:$C,'Weekly Input'!$B:$B,A23,'Weekly Input'!$A:$A,$B$3)</f>
        <v>791.665</v>
      </c>
      <c r="C23" s="14" t="n">
        <f aca="false">SUMIFS('Weekly Input'!$E:$E,'Weekly Input'!$B:$B,A23,'Weekly Input'!$A:$A,$B$3)</f>
        <v>0</v>
      </c>
      <c r="D23" s="14" t="n">
        <f aca="false">SUMIFS('Weekly Input'!$D:$D,'Weekly Input'!$B:$B,A23,'Weekly Input'!$A:$A,$B$3)</f>
        <v>3</v>
      </c>
      <c r="E23" s="16" t="n">
        <f aca="false">IFERROR(C23/D23,"")</f>
        <v>0</v>
      </c>
      <c r="F23" s="16" t="n">
        <f aca="false">IFERROR(SUMIFS('Weekly Input'!$G:$G,'Weekly Input'!$B:$B,A23,'Weekly Input'!$A:$A,$B$3)/SUMIFS('Weekly Input'!$H:$H,'Weekly Input'!$B:$B,A23,'Weekly Input'!$A:$A,$B$3),"N/A")</f>
        <v>0</v>
      </c>
      <c r="G23" s="16" t="str">
        <f aca="false">IFERROR(SUMIFS('Weekly Input'!$J:$J,'Weekly Input'!$B:$B,A23,'Weekly Input'!$A:$A,$B$3)/SUMIFS('Weekly Input'!$K:$K,'Weekly Input'!$B:$B,A23,'Weekly Input'!$A:$A,$B$3),"N/A")</f>
        <v>N/A</v>
      </c>
      <c r="H23" s="14" t="n">
        <f aca="false">SUMIFS('Weekly Input'!$P:$P,'Weekly Input'!$B:$B,A23,'Weekly Input'!$A:$A,$B$3)</f>
        <v>2</v>
      </c>
      <c r="I23" s="14" t="n">
        <f aca="false">SUMIFS('Weekly Input'!$Q:$Q,'Weekly Input'!$B:$B,A23,'Weekly Input'!$A:$A,$B$3)</f>
        <v>0</v>
      </c>
      <c r="J23" s="17" t="n">
        <f aca="false">SUMIFS('Weekly Input'!$R:$R,'Weekly Input'!$B:$B,A23,'Weekly Input'!$A:$A,$B$3)</f>
        <v>0</v>
      </c>
      <c r="K23" s="15" t="str">
        <f aca="false">IFERROR(B23/J23,"")</f>
        <v/>
      </c>
      <c r="L23" s="16" t="n">
        <f aca="false">IFERROR(J23/J$27,"")</f>
        <v>0</v>
      </c>
    </row>
    <row r="24" customFormat="false" ht="15" hidden="false" customHeight="false" outlineLevel="0" collapsed="false">
      <c r="A24" s="14" t="str">
        <f aca="false">'Platform Settings'!A14</f>
        <v>Zoominfo</v>
      </c>
      <c r="B24" s="15" t="n">
        <f aca="false">SUMIFS('Weekly Input'!$C:$C,'Weekly Input'!$B:$B,A24,'Weekly Input'!$A:$A,$B$3)</f>
        <v>0</v>
      </c>
      <c r="C24" s="14" t="n">
        <f aca="false">SUMIFS('Weekly Input'!$E:$E,'Weekly Input'!$B:$B,A24,'Weekly Input'!$A:$A,$B$3)</f>
        <v>0</v>
      </c>
      <c r="D24" s="14" t="n">
        <f aca="false">SUMIFS('Weekly Input'!$D:$D,'Weekly Input'!$B:$B,A24,'Weekly Input'!$A:$A,$B$3)</f>
        <v>0</v>
      </c>
      <c r="E24" s="16" t="str">
        <f aca="false">IFERROR(C24/D24,"")</f>
        <v/>
      </c>
      <c r="F24" s="16" t="str">
        <f aca="false">IFERROR(SUMIFS('Weekly Input'!$G:$G,'Weekly Input'!$B:$B,A24,'Weekly Input'!$A:$A,$B$3)/SUMIFS('Weekly Input'!$H:$H,'Weekly Input'!$B:$B,A24,'Weekly Input'!$A:$A,$B$3),"N/A")</f>
        <v>N/A</v>
      </c>
      <c r="G24" s="16" t="str">
        <f aca="false">IFERROR(SUMIFS('Weekly Input'!$J:$J,'Weekly Input'!$B:$B,A24,'Weekly Input'!$A:$A,$B$3)/SUMIFS('Weekly Input'!$K:$K,'Weekly Input'!$B:$B,A24,'Weekly Input'!$A:$A,$B$3),"N/A")</f>
        <v>N/A</v>
      </c>
      <c r="H24" s="14" t="n">
        <f aca="false">SUMIFS('Weekly Input'!$P:$P,'Weekly Input'!$B:$B,A24,'Weekly Input'!$A:$A,$B$3)</f>
        <v>0</v>
      </c>
      <c r="I24" s="14" t="n">
        <f aca="false">SUMIFS('Weekly Input'!$Q:$Q,'Weekly Input'!$B:$B,A24,'Weekly Input'!$A:$A,$B$3)</f>
        <v>0</v>
      </c>
      <c r="J24" s="17" t="n">
        <f aca="false">SUMIFS('Weekly Input'!$R:$R,'Weekly Input'!$B:$B,A24,'Weekly Input'!$A:$A,$B$3)</f>
        <v>0</v>
      </c>
      <c r="K24" s="15" t="str">
        <f aca="false">IFERROR(B24/J24,"")</f>
        <v/>
      </c>
      <c r="L24" s="16" t="n">
        <f aca="false">IFERROR(J24/J$27,"")</f>
        <v>0</v>
      </c>
    </row>
    <row r="25" customFormat="false" ht="15" hidden="false" customHeight="false" outlineLevel="0" collapsed="false">
      <c r="A25" s="14" t="str">
        <f aca="false">'Platform Settings'!A15</f>
        <v>SignalHire</v>
      </c>
      <c r="B25" s="15" t="n">
        <f aca="false">SUMIFS('Weekly Input'!$C:$C,'Weekly Input'!$B:$B,A25,'Weekly Input'!$A:$A,$B$3)</f>
        <v>0</v>
      </c>
      <c r="C25" s="14" t="n">
        <f aca="false">SUMIFS('Weekly Input'!$E:$E,'Weekly Input'!$B:$B,A25,'Weekly Input'!$A:$A,$B$3)</f>
        <v>43</v>
      </c>
      <c r="D25" s="14" t="n">
        <f aca="false">SUMIFS('Weekly Input'!$D:$D,'Weekly Input'!$B:$B,A25,'Weekly Input'!$A:$A,$B$3)</f>
        <v>43</v>
      </c>
      <c r="E25" s="16" t="n">
        <f aca="false">IFERROR(C25/D25,"")</f>
        <v>1</v>
      </c>
      <c r="F25" s="16" t="str">
        <f aca="false">IFERROR(SUMIFS('Weekly Input'!$G:$G,'Weekly Input'!$B:$B,A25,'Weekly Input'!$A:$A,$B$3)/SUMIFS('Weekly Input'!$H:$H,'Weekly Input'!$B:$B,A25,'Weekly Input'!$A:$A,$B$3),"N/A")</f>
        <v>N/A</v>
      </c>
      <c r="G25" s="16" t="str">
        <f aca="false">IFERROR(SUMIFS('Weekly Input'!$J:$J,'Weekly Input'!$B:$B,A25,'Weekly Input'!$A:$A,$B$3)/SUMIFS('Weekly Input'!$K:$K,'Weekly Input'!$B:$B,A25,'Weekly Input'!$A:$A,$B$3),"N/A")</f>
        <v>N/A</v>
      </c>
      <c r="H25" s="14" t="n">
        <f aca="false">SUMIFS('Weekly Input'!$P:$P,'Weekly Input'!$B:$B,A25,'Weekly Input'!$A:$A,$B$3)</f>
        <v>0</v>
      </c>
      <c r="I25" s="14" t="n">
        <f aca="false">SUMIFS('Weekly Input'!$Q:$Q,'Weekly Input'!$B:$B,A25,'Weekly Input'!$A:$A,$B$3)</f>
        <v>0</v>
      </c>
      <c r="J25" s="17" t="n">
        <f aca="false">SUMIFS('Weekly Input'!$R:$R,'Weekly Input'!$B:$B,A25,'Weekly Input'!$A:$A,$B$3)</f>
        <v>0</v>
      </c>
      <c r="K25" s="15" t="str">
        <f aca="false">IFERROR(B25/J25,"")</f>
        <v/>
      </c>
      <c r="L25" s="16" t="n">
        <f aca="false">IFERROR(J25/J$27,"")</f>
        <v>0</v>
      </c>
    </row>
    <row r="26" customFormat="false" ht="15" hidden="false" customHeight="false" outlineLevel="0" collapsed="false">
      <c r="A26" s="14" t="str">
        <f aca="false">'Platform Settings'!A16</f>
        <v>Referred</v>
      </c>
      <c r="B26" s="15" t="n">
        <f aca="false">SUMIFS('Weekly Input'!$C:$C,'Weekly Input'!$B:$B,A26,'Weekly Input'!$A:$A,$B$3)</f>
        <v>250</v>
      </c>
      <c r="C26" s="14" t="n">
        <f aca="false">SUMIFS('Weekly Input'!$E:$E,'Weekly Input'!$B:$B,A26,'Weekly Input'!$A:$A,$B$3)</f>
        <v>0</v>
      </c>
      <c r="D26" s="14" t="n">
        <f aca="false">SUMIFS('Weekly Input'!$D:$D,'Weekly Input'!$B:$B,A26,'Weekly Input'!$A:$A,$B$3)</f>
        <v>0</v>
      </c>
      <c r="E26" s="16" t="str">
        <f aca="false">IFERROR(C26/D26,"")</f>
        <v/>
      </c>
      <c r="F26" s="16" t="str">
        <f aca="false">IFERROR(SUMIFS('Weekly Input'!$G:$G,'Weekly Input'!$B:$B,A26,'Weekly Input'!$A:$A,$B$3)/SUMIFS('Weekly Input'!$H:$H,'Weekly Input'!$B:$B,A26,'Weekly Input'!$A:$A,$B$3),"N/A")</f>
        <v>N/A</v>
      </c>
      <c r="G26" s="16" t="str">
        <f aca="false">IFERROR(SUMIFS('Weekly Input'!$J:$J,'Weekly Input'!$B:$B,A26,'Weekly Input'!$A:$A,$B$3)/SUMIFS('Weekly Input'!$K:$K,'Weekly Input'!$B:$B,A26,'Weekly Input'!$A:$A,$B$3),"N/A")</f>
        <v>N/A</v>
      </c>
      <c r="H26" s="14" t="n">
        <f aca="false">SUMIFS('Weekly Input'!$P:$P,'Weekly Input'!$B:$B,A26,'Weekly Input'!$A:$A,$B$3)</f>
        <v>6</v>
      </c>
      <c r="I26" s="14" t="n">
        <f aca="false">SUMIFS('Weekly Input'!$Q:$Q,'Weekly Input'!$B:$B,A26,'Weekly Input'!$A:$A,$B$3)</f>
        <v>0</v>
      </c>
      <c r="J26" s="17" t="n">
        <f aca="false">SUMIFS('Weekly Input'!$R:$R,'Weekly Input'!$B:$B,A26,'Weekly Input'!$A:$A,$B$3)</f>
        <v>1</v>
      </c>
      <c r="K26" s="15" t="n">
        <f aca="false">IFERROR(B26/J26,"")</f>
        <v>250</v>
      </c>
      <c r="L26" s="16" t="n">
        <f aca="false">IFERROR(J26/J$27,"")</f>
        <v>0.04</v>
      </c>
    </row>
    <row r="27" customFormat="false" ht="15" hidden="false" customHeight="false" outlineLevel="0" collapsed="false">
      <c r="A27" s="18" t="s">
        <v>33</v>
      </c>
      <c r="B27" s="19" t="n">
        <f aca="false">SUM(B14:B26)</f>
        <v>13797.055</v>
      </c>
      <c r="C27" s="18" t="n">
        <f aca="false">SUM(C14:C26)</f>
        <v>72</v>
      </c>
      <c r="D27" s="18" t="n">
        <f aca="false">SUM(D14:D26)</f>
        <v>211</v>
      </c>
      <c r="E27" s="20" t="n">
        <f aca="false">IFERROR(C27/D27,"")</f>
        <v>0.341232227488152</v>
      </c>
      <c r="F27" s="20"/>
      <c r="G27" s="20"/>
      <c r="H27" s="18" t="n">
        <f aca="false">SUM(H14:H26)</f>
        <v>287</v>
      </c>
      <c r="I27" s="18" t="n">
        <f aca="false">SUM(I14:I26)</f>
        <v>37</v>
      </c>
      <c r="J27" s="18" t="n">
        <f aca="false">SUM(J14:J26)</f>
        <v>25</v>
      </c>
      <c r="K27" s="19" t="n">
        <f aca="false">IFERROR(B27/J27,"")</f>
        <v>551.8822</v>
      </c>
      <c r="L27" s="20" t="n">
        <f aca="false">IFERROR(J27/J27,"")</f>
        <v>1</v>
      </c>
    </row>
    <row r="29" customFormat="false" ht="15" hidden="false" customHeight="false" outlineLevel="0" collapsed="false">
      <c r="A29" s="21" t="s">
        <v>34</v>
      </c>
    </row>
    <row r="30" customFormat="false" ht="23.85" hidden="false" customHeight="false" outlineLevel="0" collapsed="false">
      <c r="A30" s="13" t="s">
        <v>35</v>
      </c>
      <c r="B30" s="13" t="s">
        <v>36</v>
      </c>
      <c r="C30" s="13" t="s">
        <v>37</v>
      </c>
      <c r="D30" s="13" t="s">
        <v>38</v>
      </c>
      <c r="E30" s="13" t="s">
        <v>39</v>
      </c>
    </row>
    <row r="31" customFormat="false" ht="15" hidden="false" customHeight="false" outlineLevel="0" collapsed="false">
      <c r="A31" s="22" t="n">
        <v>46280</v>
      </c>
      <c r="B31" s="15" t="n">
        <f aca="false">SUMIFS('Weekly Input'!$C:$C,'Weekly Input'!$A:$A,A31)</f>
        <v>13797.055</v>
      </c>
      <c r="C31" s="14" t="n">
        <f aca="false">SUMIFS('Weekly Input'!$P:$P,'Weekly Input'!$A:$A,A31)</f>
        <v>287</v>
      </c>
      <c r="D31" s="14" t="n">
        <f aca="false">SUMIFS('Weekly Input'!$Q:$Q,'Weekly Input'!$A:$A,A31)</f>
        <v>37</v>
      </c>
      <c r="E31" s="14" t="n">
        <f aca="false">SUMIFS('Weekly Input'!$R:$R,'Weekly Input'!$A:$A,A31)</f>
        <v>25</v>
      </c>
    </row>
    <row r="33" customFormat="false" ht="18" hidden="false" customHeight="true" outlineLevel="0" collapsed="false">
      <c r="A33" s="23" t="s">
        <v>40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</sheetData>
  <mergeCells count="21">
    <mergeCell ref="A1:L1"/>
    <mergeCell ref="A2:L2"/>
    <mergeCell ref="B3:D3"/>
    <mergeCell ref="A5:C5"/>
    <mergeCell ref="D5:F5"/>
    <mergeCell ref="G5:I5"/>
    <mergeCell ref="J5:L5"/>
    <mergeCell ref="A6:C7"/>
    <mergeCell ref="D6:F7"/>
    <mergeCell ref="G6:I7"/>
    <mergeCell ref="J6:L7"/>
    <mergeCell ref="A9:C9"/>
    <mergeCell ref="D9:F9"/>
    <mergeCell ref="G9:I9"/>
    <mergeCell ref="J9:L9"/>
    <mergeCell ref="A10:C11"/>
    <mergeCell ref="D10:F11"/>
    <mergeCell ref="G10:I11"/>
    <mergeCell ref="J10:L11"/>
    <mergeCell ref="A12:L12"/>
    <mergeCell ref="A33:L33"/>
  </mergeCells>
  <conditionalFormatting sqref="E14:E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4:F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:J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4:K26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24" t="s">
        <v>41</v>
      </c>
      <c r="B1" s="24"/>
      <c r="C1" s="24"/>
      <c r="D1" s="24"/>
      <c r="E1" s="24"/>
      <c r="F1" s="24"/>
      <c r="G1" s="24"/>
    </row>
    <row r="3" customFormat="false" ht="31.5" hidden="false" customHeight="true" outlineLevel="0" collapsed="false">
      <c r="A3" s="13" t="s">
        <v>21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  <c r="G3" s="13" t="s">
        <v>47</v>
      </c>
    </row>
    <row r="4" customFormat="false" ht="30" hidden="false" customHeight="true" outlineLevel="0" collapsed="false">
      <c r="A4" s="25" t="s">
        <v>48</v>
      </c>
      <c r="B4" s="26" t="s">
        <v>49</v>
      </c>
      <c r="C4" s="26"/>
      <c r="D4" s="26"/>
      <c r="E4" s="14" t="str">
        <f aca="false">IF(C4="","N/A",IF(D4="Year",C4/365,IF(D4="Month",C4*12/365,IF(D4="Week",C4/7,"N/A"))))</f>
        <v>N/A</v>
      </c>
      <c r="F4" s="26" t="s">
        <v>50</v>
      </c>
      <c r="G4" s="27" t="s">
        <v>51</v>
      </c>
    </row>
    <row r="5" customFormat="false" ht="30" hidden="false" customHeight="true" outlineLevel="0" collapsed="false">
      <c r="A5" s="25" t="s">
        <v>52</v>
      </c>
      <c r="B5" s="26" t="s">
        <v>53</v>
      </c>
      <c r="C5" s="26" t="n">
        <v>270000</v>
      </c>
      <c r="D5" s="26" t="s">
        <v>54</v>
      </c>
      <c r="E5" s="14" t="n">
        <f aca="false">IF(C5="","N/A",IF(D5="Year",C5/365,IF(D5="Month",C5*12/365,IF(D5="Week",C5/7,"N/A"))))</f>
        <v>739.72602739726</v>
      </c>
      <c r="F5" s="26" t="s">
        <v>55</v>
      </c>
      <c r="G5" s="27" t="s">
        <v>56</v>
      </c>
    </row>
    <row r="6" customFormat="false" ht="30" hidden="false" customHeight="true" outlineLevel="0" collapsed="false">
      <c r="A6" s="25" t="s">
        <v>57</v>
      </c>
      <c r="B6" s="26" t="s">
        <v>58</v>
      </c>
      <c r="C6" s="26"/>
      <c r="D6" s="26"/>
      <c r="E6" s="14" t="str">
        <f aca="false">IF(C6="","N/A",IF(D6="Year",C6/365,IF(D6="Month",C6*12/365,IF(D6="Week",C6/7,"N/A"))))</f>
        <v>N/A</v>
      </c>
      <c r="F6" s="26" t="s">
        <v>59</v>
      </c>
      <c r="G6" s="27" t="s">
        <v>60</v>
      </c>
    </row>
    <row r="7" customFormat="false" ht="30" hidden="false" customHeight="true" outlineLevel="0" collapsed="false">
      <c r="A7" s="25" t="s">
        <v>61</v>
      </c>
      <c r="B7" s="26" t="s">
        <v>62</v>
      </c>
      <c r="C7" s="26"/>
      <c r="D7" s="26"/>
      <c r="E7" s="14" t="str">
        <f aca="false">IF(C7="","N/A",IF(D7="Year",C7/365,IF(D7="Month",C7*12/365,IF(D7="Week",C7/7,"N/A"))))</f>
        <v>N/A</v>
      </c>
      <c r="F7" s="26" t="s">
        <v>63</v>
      </c>
      <c r="G7" s="27" t="s">
        <v>64</v>
      </c>
    </row>
    <row r="8" customFormat="false" ht="30" hidden="false" customHeight="true" outlineLevel="0" collapsed="false">
      <c r="A8" s="25" t="s">
        <v>65</v>
      </c>
      <c r="B8" s="26" t="s">
        <v>66</v>
      </c>
      <c r="C8" s="26"/>
      <c r="D8" s="26"/>
      <c r="E8" s="14" t="str">
        <f aca="false">IF(C8="","N/A",IF(D8="Year",C8/365,IF(D8="Month",C8*12/365,IF(D8="Week",C8/7,"N/A"))))</f>
        <v>N/A</v>
      </c>
      <c r="F8" s="26" t="s">
        <v>67</v>
      </c>
      <c r="G8" s="27" t="s">
        <v>68</v>
      </c>
    </row>
    <row r="9" customFormat="false" ht="30" hidden="false" customHeight="true" outlineLevel="0" collapsed="false">
      <c r="A9" s="25" t="s">
        <v>69</v>
      </c>
      <c r="B9" s="26" t="s">
        <v>70</v>
      </c>
      <c r="C9" s="26"/>
      <c r="D9" s="26"/>
      <c r="E9" s="14" t="str">
        <f aca="false">IF(C9="","N/A",IF(D9="Year",C9/365,IF(D9="Month",C9*12/365,IF(D9="Week",C9/7,"N/A"))))</f>
        <v>N/A</v>
      </c>
      <c r="F9" s="26" t="s">
        <v>71</v>
      </c>
      <c r="G9" s="27" t="s">
        <v>72</v>
      </c>
    </row>
    <row r="10" customFormat="false" ht="30" hidden="false" customHeight="true" outlineLevel="0" collapsed="false">
      <c r="A10" s="25" t="s">
        <v>73</v>
      </c>
      <c r="B10" s="26" t="s">
        <v>70</v>
      </c>
      <c r="C10" s="26" t="n">
        <v>30000</v>
      </c>
      <c r="D10" s="26" t="s">
        <v>54</v>
      </c>
      <c r="E10" s="14" t="n">
        <f aca="false">IF(C10="","N/A",IF(D10="Year",C10/365,IF(D10="Month",C10*12/365,IF(D10="Week",C10/7,"N/A"))))</f>
        <v>82.1917808219178</v>
      </c>
      <c r="F10" s="26" t="s">
        <v>59</v>
      </c>
      <c r="G10" s="27" t="s">
        <v>74</v>
      </c>
    </row>
    <row r="11" customFormat="false" ht="30" hidden="false" customHeight="true" outlineLevel="0" collapsed="false">
      <c r="A11" s="25" t="s">
        <v>75</v>
      </c>
      <c r="B11" s="26" t="s">
        <v>70</v>
      </c>
      <c r="C11" s="26" t="n">
        <v>50000</v>
      </c>
      <c r="D11" s="26" t="s">
        <v>54</v>
      </c>
      <c r="E11" s="14" t="n">
        <f aca="false">IF(C11="","N/A",IF(D11="Year",C11/365,IF(D11="Month",C11*12/365,IF(D11="Week",C11/7,"N/A"))))</f>
        <v>136.986301369863</v>
      </c>
      <c r="F11" s="26" t="s">
        <v>55</v>
      </c>
      <c r="G11" s="27" t="s">
        <v>76</v>
      </c>
    </row>
    <row r="12" customFormat="false" ht="30" hidden="false" customHeight="true" outlineLevel="0" collapsed="false">
      <c r="A12" s="25" t="s">
        <v>77</v>
      </c>
      <c r="B12" s="26" t="s">
        <v>78</v>
      </c>
      <c r="C12" s="26"/>
      <c r="D12" s="26"/>
      <c r="E12" s="14" t="str">
        <f aca="false">IF(C12="","N/A",IF(D12="Year",C12/365,IF(D12="Month",C12*12/365,IF(D12="Week",C12/7,"N/A"))))</f>
        <v>N/A</v>
      </c>
      <c r="F12" s="26" t="s">
        <v>59</v>
      </c>
      <c r="G12" s="27" t="s">
        <v>79</v>
      </c>
    </row>
    <row r="13" customFormat="false" ht="30" hidden="false" customHeight="true" outlineLevel="0" collapsed="false">
      <c r="A13" s="25" t="s">
        <v>80</v>
      </c>
      <c r="B13" s="26" t="s">
        <v>70</v>
      </c>
      <c r="C13" s="26" t="n">
        <v>375</v>
      </c>
      <c r="D13" s="26" t="s">
        <v>81</v>
      </c>
      <c r="E13" s="14" t="n">
        <f aca="false">IF(C13="","N/A",IF(D13="Year",C13/365,IF(D13="Month",C13*12/365,IF(D13="Week",C13/7,"N/A"))))</f>
        <v>12.3287671232877</v>
      </c>
      <c r="F13" s="26" t="s">
        <v>59</v>
      </c>
      <c r="G13" s="27" t="s">
        <v>82</v>
      </c>
    </row>
    <row r="14" customFormat="false" ht="30" hidden="false" customHeight="true" outlineLevel="0" collapsed="false">
      <c r="A14" s="25" t="s">
        <v>83</v>
      </c>
      <c r="B14" s="26"/>
      <c r="C14" s="26"/>
      <c r="D14" s="26"/>
      <c r="E14" s="14" t="str">
        <f aca="false">IF(C14="","N/A",IF(D14="Year",C14/365,IF(D14="Month",C14*12/365,IF(D14="Week",C14/7,"N/A"))))</f>
        <v>N/A</v>
      </c>
      <c r="F14" s="26"/>
      <c r="G14" s="27" t="s">
        <v>84</v>
      </c>
    </row>
    <row r="15" customFormat="false" ht="30" hidden="false" customHeight="true" outlineLevel="0" collapsed="false">
      <c r="A15" s="25" t="s">
        <v>85</v>
      </c>
      <c r="B15" s="26"/>
      <c r="C15" s="26"/>
      <c r="D15" s="26"/>
      <c r="E15" s="14" t="str">
        <f aca="false">IF(C15="","N/A",IF(D15="Year",C15/365,IF(D15="Month",C15*12/365,IF(D15="Week",C15/7,"N/A"))))</f>
        <v>N/A</v>
      </c>
      <c r="F15" s="26"/>
      <c r="G15" s="27" t="s">
        <v>86</v>
      </c>
    </row>
    <row r="16" customFormat="false" ht="30" hidden="false" customHeight="true" outlineLevel="0" collapsed="false">
      <c r="A16" s="25" t="s">
        <v>87</v>
      </c>
      <c r="B16" s="26" t="s">
        <v>88</v>
      </c>
      <c r="C16" s="26"/>
      <c r="D16" s="26"/>
      <c r="E16" s="14" t="str">
        <f aca="false">IF(C16="","N/A",IF(D16="Year",C16/365,IF(D16="Month",C16*12/365,IF(D16="Week",C16/7,"N/A"))))</f>
        <v>N/A</v>
      </c>
      <c r="F16" s="26" t="s">
        <v>89</v>
      </c>
      <c r="G16" s="27" t="s">
        <v>90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9"/>
    <col collapsed="false" customWidth="true" hidden="false" outlineLevel="0" max="20" min="19" style="0" width="11"/>
    <col collapsed="false" customWidth="true" hidden="false" outlineLevel="0" max="23" min="21" style="0" width="10"/>
    <col collapsed="false" customWidth="true" hidden="false" outlineLevel="0" max="24" min="24" style="0" width="11"/>
    <col collapsed="false" customWidth="true" hidden="false" outlineLevel="0" max="25" min="25" style="0" width="30"/>
  </cols>
  <sheetData>
    <row r="1" customFormat="false" ht="16.15" hidden="false" customHeight="false" outlineLevel="0" collapsed="false">
      <c r="A1" s="24" t="s">
        <v>91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3" customFormat="false" ht="43.5" hidden="false" customHeight="true" outlineLevel="0" collapsed="false">
      <c r="A3" s="13" t="s">
        <v>35</v>
      </c>
      <c r="B3" s="13" t="s">
        <v>21</v>
      </c>
      <c r="C3" s="13" t="s">
        <v>22</v>
      </c>
      <c r="D3" s="13" t="s">
        <v>24</v>
      </c>
      <c r="E3" s="13" t="s">
        <v>23</v>
      </c>
      <c r="F3" s="13" t="s">
        <v>25</v>
      </c>
      <c r="G3" s="13" t="s">
        <v>92</v>
      </c>
      <c r="H3" s="13" t="s">
        <v>93</v>
      </c>
      <c r="I3" s="13" t="s">
        <v>26</v>
      </c>
      <c r="J3" s="13" t="s">
        <v>94</v>
      </c>
      <c r="K3" s="13" t="s">
        <v>95</v>
      </c>
      <c r="L3" s="13" t="s">
        <v>27</v>
      </c>
      <c r="M3" s="13" t="s">
        <v>96</v>
      </c>
      <c r="N3" s="13" t="s">
        <v>97</v>
      </c>
      <c r="O3" s="13" t="s">
        <v>98</v>
      </c>
      <c r="P3" s="13" t="s">
        <v>28</v>
      </c>
      <c r="Q3" s="13" t="s">
        <v>99</v>
      </c>
      <c r="R3" s="13" t="s">
        <v>100</v>
      </c>
      <c r="S3" s="13" t="s">
        <v>101</v>
      </c>
      <c r="T3" s="13" t="s">
        <v>102</v>
      </c>
      <c r="U3" s="13" t="s">
        <v>31</v>
      </c>
      <c r="V3" s="13" t="s">
        <v>103</v>
      </c>
      <c r="W3" s="13" t="s">
        <v>104</v>
      </c>
      <c r="X3" s="13" t="s">
        <v>105</v>
      </c>
      <c r="Y3" s="13" t="s">
        <v>47</v>
      </c>
    </row>
    <row r="4" customFormat="false" ht="35.05" hidden="false" customHeight="false" outlineLevel="0" collapsed="false">
      <c r="A4" s="22" t="n">
        <v>46280</v>
      </c>
      <c r="B4" s="14" t="s">
        <v>80</v>
      </c>
      <c r="C4" s="28" t="n">
        <v>791.665</v>
      </c>
      <c r="D4" s="14" t="n">
        <v>3</v>
      </c>
      <c r="E4" s="14" t="n">
        <v>0</v>
      </c>
      <c r="F4" s="29" t="n">
        <f aca="false">IFERROR(E4/D4,"")</f>
        <v>0</v>
      </c>
      <c r="G4" s="14"/>
      <c r="H4" s="14" t="n">
        <f aca="false">IFERROR(INDEX('Platform Settings'!$E:$E,MATCH(B4,'Platform Settings'!$A:$A,0))*X4,"N/A")</f>
        <v>184.931506849315</v>
      </c>
      <c r="I4" s="29" t="n">
        <f aca="false">IF(ISNUMBER(H4),IFERROR(G4/H4,""),"N/A")</f>
        <v>0</v>
      </c>
      <c r="J4" s="14"/>
      <c r="K4" s="14" t="str">
        <f aca="false">IFERROR(INDEX('Platform Settings'!$F:$F,MATCH(B4,'Platform Settings'!$A:$A,0)),"N/A")</f>
        <v>Unlimited</v>
      </c>
      <c r="L4" s="29" t="str">
        <f aca="false">IF(ISNUMBER(K4),IFERROR(J4/K4,""),"N/A")</f>
        <v>N/A</v>
      </c>
      <c r="M4" s="14"/>
      <c r="N4" s="14"/>
      <c r="O4" s="14" t="n">
        <v>0</v>
      </c>
      <c r="P4" s="14" t="n">
        <v>2</v>
      </c>
      <c r="Q4" s="14" t="n">
        <v>0</v>
      </c>
      <c r="R4" s="14" t="n">
        <v>0</v>
      </c>
      <c r="S4" s="28" t="n">
        <f aca="false">IFERROR(C4/P4,"")</f>
        <v>395.8325</v>
      </c>
      <c r="T4" s="28" t="str">
        <f aca="false">IFERROR(C4/Q4,"")</f>
        <v/>
      </c>
      <c r="U4" s="28" t="str">
        <f aca="false">IFERROR(C4/R4,"")</f>
        <v/>
      </c>
      <c r="V4" s="29" t="n">
        <f aca="false">IFERROR(Q4/P4,"")</f>
        <v>0</v>
      </c>
      <c r="W4" s="29" t="str">
        <f aca="false">IFERROR(R4/Q4,"")</f>
        <v/>
      </c>
      <c r="X4" s="14" t="n">
        <v>15</v>
      </c>
      <c r="Y4" s="30" t="s">
        <v>106</v>
      </c>
    </row>
    <row r="5" customFormat="false" ht="46.25" hidden="false" customHeight="false" outlineLevel="0" collapsed="false">
      <c r="A5" s="22" t="n">
        <v>46280</v>
      </c>
      <c r="B5" s="14" t="s">
        <v>57</v>
      </c>
      <c r="C5" s="28" t="n">
        <v>1527.2</v>
      </c>
      <c r="D5" s="14" t="n">
        <v>4</v>
      </c>
      <c r="E5" s="14" t="n">
        <v>0</v>
      </c>
      <c r="F5" s="29" t="n">
        <f aca="false">IFERROR(E5/D5,"")</f>
        <v>0</v>
      </c>
      <c r="G5" s="14"/>
      <c r="H5" s="14" t="str">
        <f aca="false">IFERROR(INDEX('Platform Settings'!$E:$E,MATCH(B5,'Platform Settings'!$A:$A,0))*X5,"N/A")</f>
        <v>N/A</v>
      </c>
      <c r="I5" s="29" t="str">
        <f aca="false">IF(ISNUMBER(H5),IFERROR(G5/H5,""),"N/A")</f>
        <v>N/A</v>
      </c>
      <c r="J5" s="14"/>
      <c r="K5" s="14" t="str">
        <f aca="false">IFERROR(INDEX('Platform Settings'!$F:$F,MATCH(B5,'Platform Settings'!$A:$A,0)),"N/A")</f>
        <v>Unlimited</v>
      </c>
      <c r="L5" s="29" t="str">
        <f aca="false">IF(ISNUMBER(K5),IFERROR(J5/K5,""),"N/A")</f>
        <v>N/A</v>
      </c>
      <c r="M5" s="14"/>
      <c r="N5" s="14"/>
      <c r="O5" s="14"/>
      <c r="P5" s="14" t="n">
        <v>33</v>
      </c>
      <c r="Q5" s="14" t="n">
        <v>8</v>
      </c>
      <c r="R5" s="14" t="n">
        <v>2</v>
      </c>
      <c r="S5" s="28" t="n">
        <f aca="false">IFERROR(C5/P5,"")</f>
        <v>46.2787878787879</v>
      </c>
      <c r="T5" s="28" t="n">
        <f aca="false">IFERROR(C5/Q5,"")</f>
        <v>190.9</v>
      </c>
      <c r="U5" s="28" t="n">
        <f aca="false">IFERROR(C5/R5,"")</f>
        <v>763.6</v>
      </c>
      <c r="V5" s="29" t="n">
        <f aca="false">IFERROR(Q5/P5,"")</f>
        <v>0.242424242424242</v>
      </c>
      <c r="W5" s="29" t="n">
        <f aca="false">IFERROR(R5/Q5,"")</f>
        <v>0.25</v>
      </c>
      <c r="X5" s="14" t="n">
        <v>15</v>
      </c>
      <c r="Y5" s="30" t="s">
        <v>107</v>
      </c>
    </row>
    <row r="6" customFormat="false" ht="35.05" hidden="false" customHeight="false" outlineLevel="0" collapsed="false">
      <c r="A6" s="22" t="n">
        <v>46280</v>
      </c>
      <c r="B6" s="14" t="s">
        <v>65</v>
      </c>
      <c r="C6" s="28" t="n">
        <v>2816</v>
      </c>
      <c r="D6" s="14" t="n">
        <v>89</v>
      </c>
      <c r="E6" s="14" t="n">
        <v>0</v>
      </c>
      <c r="F6" s="29" t="n">
        <f aca="false">IFERROR(E6/D6,"")</f>
        <v>0</v>
      </c>
      <c r="G6" s="14"/>
      <c r="H6" s="14" t="str">
        <f aca="false">IFERROR(INDEX('Platform Settings'!$E:$E,MATCH(B6,'Platform Settings'!$A:$A,0))*X6,"N/A")</f>
        <v>N/A</v>
      </c>
      <c r="I6" s="29" t="str">
        <f aca="false">IF(ISNUMBER(H6),IFERROR(G6/H6,""),"N/A")</f>
        <v>N/A</v>
      </c>
      <c r="J6" s="14"/>
      <c r="K6" s="14" t="str">
        <f aca="false">IFERROR(INDEX('Platform Settings'!$F:$F,MATCH(B6,'Platform Settings'!$A:$A,0)),"N/A")</f>
        <v>111 total (85 US)</v>
      </c>
      <c r="L6" s="29" t="str">
        <f aca="false">IF(ISNUMBER(K6),IFERROR(J6/K6,""),"N/A")</f>
        <v>N/A</v>
      </c>
      <c r="M6" s="14"/>
      <c r="N6" s="14"/>
      <c r="O6" s="14"/>
      <c r="P6" s="14" t="n">
        <v>37</v>
      </c>
      <c r="Q6" s="14" t="n">
        <v>12</v>
      </c>
      <c r="R6" s="14" t="n">
        <v>0</v>
      </c>
      <c r="S6" s="28" t="n">
        <f aca="false">IFERROR(C6/P6,"")</f>
        <v>76.1081081081081</v>
      </c>
      <c r="T6" s="28" t="n">
        <f aca="false">IFERROR(C6/Q6,"")</f>
        <v>234.666666666667</v>
      </c>
      <c r="U6" s="28" t="str">
        <f aca="false">IFERROR(C6/R6,"")</f>
        <v/>
      </c>
      <c r="V6" s="29" t="n">
        <f aca="false">IFERROR(Q6/P6,"")</f>
        <v>0.324324324324324</v>
      </c>
      <c r="W6" s="29" t="n">
        <f aca="false">IFERROR(R6/Q6,"")</f>
        <v>0</v>
      </c>
      <c r="X6" s="14" t="n">
        <v>15</v>
      </c>
      <c r="Y6" s="30" t="s">
        <v>108</v>
      </c>
    </row>
    <row r="7" customFormat="false" ht="46.25" hidden="false" customHeight="false" outlineLevel="0" collapsed="false">
      <c r="A7" s="22" t="n">
        <v>46280</v>
      </c>
      <c r="B7" s="14" t="s">
        <v>52</v>
      </c>
      <c r="C7" s="28" t="n">
        <v>1332.815</v>
      </c>
      <c r="D7" s="14" t="n">
        <v>0</v>
      </c>
      <c r="E7" s="14" t="n">
        <v>0</v>
      </c>
      <c r="F7" s="29" t="str">
        <f aca="false">IFERROR(E7/D7,"")</f>
        <v/>
      </c>
      <c r="G7" s="14"/>
      <c r="H7" s="14" t="n">
        <f aca="false">IFERROR(INDEX('Platform Settings'!$E:$E,MATCH(B7,'Platform Settings'!$A:$A,0))*X7,"N/A")</f>
        <v>11095.8904109589</v>
      </c>
      <c r="I7" s="29" t="n">
        <f aca="false">IF(ISNUMBER(H7),IFERROR(G7/H7,""),"N/A")</f>
        <v>0</v>
      </c>
      <c r="J7" s="14" t="n">
        <v>35</v>
      </c>
      <c r="K7" s="14" t="str">
        <f aca="false">IFERROR(INDEX('Platform Settings'!$F:$F,MATCH(B7,'Platform Settings'!$A:$A,0)),"N/A")</f>
        <v>35</v>
      </c>
      <c r="L7" s="29" t="str">
        <f aca="false">IF(ISNUMBER(K7),IFERROR(J7/K7,""),"N/A")</f>
        <v>N/A</v>
      </c>
      <c r="M7" s="14"/>
      <c r="N7" s="14"/>
      <c r="O7" s="14"/>
      <c r="P7" s="14" t="n">
        <v>39</v>
      </c>
      <c r="Q7" s="14" t="n">
        <v>4</v>
      </c>
      <c r="R7" s="14" t="n">
        <v>1</v>
      </c>
      <c r="S7" s="28" t="n">
        <f aca="false">IFERROR(C7/P7,"")</f>
        <v>34.1747435897436</v>
      </c>
      <c r="T7" s="28" t="n">
        <f aca="false">IFERROR(C7/Q7,"")</f>
        <v>333.20375</v>
      </c>
      <c r="U7" s="28" t="n">
        <f aca="false">IFERROR(C7/R7,"")</f>
        <v>1332.815</v>
      </c>
      <c r="V7" s="29" t="n">
        <f aca="false">IFERROR(Q7/P7,"")</f>
        <v>0.102564102564103</v>
      </c>
      <c r="W7" s="29" t="n">
        <f aca="false">IFERROR(R7/Q7,"")</f>
        <v>0.25</v>
      </c>
      <c r="X7" s="14" t="n">
        <v>15</v>
      </c>
      <c r="Y7" s="30" t="s">
        <v>109</v>
      </c>
    </row>
    <row r="8" customFormat="false" ht="23.85" hidden="false" customHeight="false" outlineLevel="0" collapsed="false">
      <c r="A8" s="22" t="n">
        <v>46280</v>
      </c>
      <c r="B8" s="14" t="s">
        <v>73</v>
      </c>
      <c r="C8" s="28" t="n">
        <v>125</v>
      </c>
      <c r="D8" s="14" t="n">
        <v>3</v>
      </c>
      <c r="E8" s="14" t="n">
        <v>1</v>
      </c>
      <c r="F8" s="29" t="n">
        <f aca="false">IFERROR(E8/D8,"")</f>
        <v>0.333333333333333</v>
      </c>
      <c r="G8" s="14" t="n">
        <v>616</v>
      </c>
      <c r="H8" s="14" t="n">
        <f aca="false">IFERROR(INDEX('Platform Settings'!$E:$E,MATCH(B8,'Platform Settings'!$A:$A,0))*X8,"N/A")</f>
        <v>1232.87671232877</v>
      </c>
      <c r="I8" s="29" t="n">
        <f aca="false">IF(ISNUMBER(H8),IFERROR(G8/H8,""),"N/A")</f>
        <v>0.499644444444444</v>
      </c>
      <c r="J8" s="14"/>
      <c r="K8" s="14" t="str">
        <f aca="false">IFERROR(INDEX('Platform Settings'!$F:$F,MATCH(B8,'Platform Settings'!$A:$A,0)),"N/A")</f>
        <v>Unlimited</v>
      </c>
      <c r="L8" s="29" t="str">
        <f aca="false">IF(ISNUMBER(K8),IFERROR(J8/K8,""),"N/A")</f>
        <v>N/A</v>
      </c>
      <c r="M8" s="14"/>
      <c r="N8" s="14" t="n">
        <v>431</v>
      </c>
      <c r="O8" s="14" t="n">
        <v>0</v>
      </c>
      <c r="P8" s="14" t="n">
        <v>9</v>
      </c>
      <c r="Q8" s="14" t="n">
        <v>3</v>
      </c>
      <c r="R8" s="14" t="n">
        <v>1</v>
      </c>
      <c r="S8" s="28" t="n">
        <f aca="false">IFERROR(C8/P8,"")</f>
        <v>13.8888888888889</v>
      </c>
      <c r="T8" s="28" t="n">
        <f aca="false">IFERROR(C8/Q8,"")</f>
        <v>41.6666666666667</v>
      </c>
      <c r="U8" s="28" t="n">
        <f aca="false">IFERROR(C8/R8,"")</f>
        <v>125</v>
      </c>
      <c r="V8" s="29" t="n">
        <f aca="false">IFERROR(Q8/P8,"")</f>
        <v>0.333333333333333</v>
      </c>
      <c r="W8" s="29" t="n">
        <f aca="false">IFERROR(R8/Q8,"")</f>
        <v>0.333333333333333</v>
      </c>
      <c r="X8" s="14" t="n">
        <v>15</v>
      </c>
      <c r="Y8" s="30" t="s">
        <v>110</v>
      </c>
    </row>
    <row r="9" customFormat="false" ht="35.05" hidden="false" customHeight="false" outlineLevel="0" collapsed="false">
      <c r="A9" s="22" t="n">
        <v>46280</v>
      </c>
      <c r="B9" s="14" t="s">
        <v>85</v>
      </c>
      <c r="C9" s="28"/>
      <c r="D9" s="14" t="n">
        <v>43</v>
      </c>
      <c r="E9" s="14" t="n">
        <v>43</v>
      </c>
      <c r="F9" s="29" t="n">
        <f aca="false">IFERROR(E9/D9,"")</f>
        <v>1</v>
      </c>
      <c r="G9" s="14" t="n">
        <v>0</v>
      </c>
      <c r="H9" s="14" t="str">
        <f aca="false">IFERROR(INDEX('Platform Settings'!$E:$E,MATCH(B9,'Platform Settings'!$A:$A,0))*X9,"N/A")</f>
        <v>N/A</v>
      </c>
      <c r="I9" s="29" t="str">
        <f aca="false">IF(ISNUMBER(H9),IFERROR(G9/H9,""),"N/A")</f>
        <v>N/A</v>
      </c>
      <c r="J9" s="14"/>
      <c r="K9" s="14" t="n">
        <f aca="false">IFERROR(INDEX('Platform Settings'!$F:$F,MATCH(B9,'Platform Settings'!$A:$A,0)),"N/A")</f>
        <v>0</v>
      </c>
      <c r="L9" s="29" t="str">
        <f aca="false">IF(ISNUMBER(K9),IFERROR(J9/K9,""),"N/A")</f>
        <v>N/A</v>
      </c>
      <c r="M9" s="14"/>
      <c r="N9" s="14" t="n">
        <v>2728</v>
      </c>
      <c r="O9" s="14" t="n">
        <v>2180</v>
      </c>
      <c r="P9" s="14"/>
      <c r="Q9" s="14"/>
      <c r="R9" s="14"/>
      <c r="S9" s="28" t="str">
        <f aca="false">IFERROR(C9/P9,"")</f>
        <v/>
      </c>
      <c r="T9" s="28" t="str">
        <f aca="false">IFERROR(C9/Q9,"")</f>
        <v/>
      </c>
      <c r="U9" s="28" t="str">
        <f aca="false">IFERROR(C9/R9,"")</f>
        <v/>
      </c>
      <c r="V9" s="29" t="str">
        <f aca="false">IFERROR(Q9/P9,"")</f>
        <v/>
      </c>
      <c r="W9" s="29" t="str">
        <f aca="false">IFERROR(R9/Q9,"")</f>
        <v/>
      </c>
      <c r="X9" s="14" t="n">
        <v>15</v>
      </c>
      <c r="Y9" s="30" t="s">
        <v>111</v>
      </c>
    </row>
    <row r="10" customFormat="false" ht="35.05" hidden="false" customHeight="false" outlineLevel="0" collapsed="false">
      <c r="A10" s="22" t="n">
        <v>46280</v>
      </c>
      <c r="B10" s="14" t="s">
        <v>48</v>
      </c>
      <c r="C10" s="28" t="n">
        <v>3750</v>
      </c>
      <c r="D10" s="14" t="n">
        <v>69</v>
      </c>
      <c r="E10" s="14" t="n">
        <v>28</v>
      </c>
      <c r="F10" s="29" t="n">
        <f aca="false">IFERROR(E10/D10,"")</f>
        <v>0.405797101449275</v>
      </c>
      <c r="G10" s="14" t="n">
        <v>0</v>
      </c>
      <c r="H10" s="14" t="str">
        <f aca="false">IFERROR(INDEX('Platform Settings'!$E:$E,MATCH(B10,'Platform Settings'!$A:$A,0))*X10,"N/A")</f>
        <v>N/A</v>
      </c>
      <c r="I10" s="29" t="str">
        <f aca="false">IF(ISNUMBER(H10),IFERROR(G10/H10,""),"N/A")</f>
        <v>N/A</v>
      </c>
      <c r="J10" s="14" t="n">
        <v>856</v>
      </c>
      <c r="K10" s="14" t="str">
        <f aca="false">IFERROR(INDEX('Platform Settings'!$F:$F,MATCH(B10,'Platform Settings'!$A:$A,0)),"N/A")</f>
        <v>175/week (proposals)</v>
      </c>
      <c r="L10" s="29" t="str">
        <f aca="false">IF(ISNUMBER(K10),IFERROR(J10/K10,""),"N/A")</f>
        <v>N/A</v>
      </c>
      <c r="M10" s="14"/>
      <c r="N10" s="14" t="n">
        <v>660</v>
      </c>
      <c r="O10" s="14" t="n">
        <v>0</v>
      </c>
      <c r="P10" s="14" t="n">
        <v>37</v>
      </c>
      <c r="Q10" s="14" t="n">
        <v>0</v>
      </c>
      <c r="R10" s="14" t="n">
        <v>9</v>
      </c>
      <c r="S10" s="28" t="n">
        <f aca="false">IFERROR(C10/P10,"")</f>
        <v>101.351351351351</v>
      </c>
      <c r="T10" s="28" t="str">
        <f aca="false">IFERROR(C10/Q10,"")</f>
        <v/>
      </c>
      <c r="U10" s="28" t="n">
        <f aca="false">IFERROR(C10/R10,"")</f>
        <v>416.666666666667</v>
      </c>
      <c r="V10" s="29" t="n">
        <f aca="false">IFERROR(Q10/P10,"")</f>
        <v>0</v>
      </c>
      <c r="W10" s="29" t="str">
        <f aca="false">IFERROR(R10/Q10,"")</f>
        <v/>
      </c>
      <c r="X10" s="14" t="n">
        <v>15</v>
      </c>
      <c r="Y10" s="30" t="s">
        <v>112</v>
      </c>
    </row>
    <row r="11" customFormat="false" ht="35.05" hidden="false" customHeight="false" outlineLevel="0" collapsed="false">
      <c r="A11" s="22" t="n">
        <v>46280</v>
      </c>
      <c r="B11" s="14" t="s">
        <v>61</v>
      </c>
      <c r="C11" s="28" t="n">
        <v>1075</v>
      </c>
      <c r="D11" s="14"/>
      <c r="E11" s="14"/>
      <c r="F11" s="29" t="str">
        <f aca="false">IFERROR(E11/D11,"")</f>
        <v/>
      </c>
      <c r="G11" s="14"/>
      <c r="H11" s="14" t="str">
        <f aca="false">IFERROR(INDEX('Platform Settings'!$E:$E,MATCH(B11,'Platform Settings'!$A:$A,0))*X11,"N/A")</f>
        <v>N/A</v>
      </c>
      <c r="I11" s="29" t="str">
        <f aca="false">IF(ISNUMBER(H11),IFERROR(G11/H11,""),"N/A")</f>
        <v>N/A</v>
      </c>
      <c r="J11" s="14"/>
      <c r="K11" s="14" t="str">
        <f aca="false">IFERROR(INDEX('Platform Settings'!$F:$F,MATCH(B11,'Platform Settings'!$A:$A,0)),"N/A")</f>
        <v>Internal DB (no limit)</v>
      </c>
      <c r="L11" s="29" t="str">
        <f aca="false">IF(ISNUMBER(K11),IFERROR(J11/K11,""),"N/A")</f>
        <v>N/A</v>
      </c>
      <c r="M11" s="14"/>
      <c r="N11" s="14"/>
      <c r="O11" s="14"/>
      <c r="P11" s="14" t="n">
        <v>88</v>
      </c>
      <c r="Q11" s="14" t="n">
        <v>6</v>
      </c>
      <c r="R11" s="14" t="n">
        <v>8</v>
      </c>
      <c r="S11" s="28" t="n">
        <f aca="false">IFERROR(C11/P11,"")</f>
        <v>12.2159090909091</v>
      </c>
      <c r="T11" s="28" t="n">
        <f aca="false">IFERROR(C11/Q11,"")</f>
        <v>179.166666666667</v>
      </c>
      <c r="U11" s="28" t="n">
        <f aca="false">IFERROR(C11/R11,"")</f>
        <v>134.375</v>
      </c>
      <c r="V11" s="29" t="n">
        <f aca="false">IFERROR(Q11/P11,"")</f>
        <v>0.0681818181818182</v>
      </c>
      <c r="W11" s="29" t="n">
        <f aca="false">IFERROR(R11/Q11,"")</f>
        <v>1.33333333333333</v>
      </c>
      <c r="X11" s="14" t="n">
        <v>15</v>
      </c>
      <c r="Y11" s="30" t="s">
        <v>113</v>
      </c>
    </row>
    <row r="12" customFormat="false" ht="23.85" hidden="false" customHeight="false" outlineLevel="0" collapsed="false">
      <c r="A12" s="22" t="n">
        <v>46280</v>
      </c>
      <c r="B12" s="14" t="s">
        <v>69</v>
      </c>
      <c r="C12" s="28" t="n">
        <v>968.5</v>
      </c>
      <c r="D12" s="14"/>
      <c r="E12" s="14"/>
      <c r="F12" s="29" t="str">
        <f aca="false">IFERROR(E12/D12,"")</f>
        <v/>
      </c>
      <c r="G12" s="14"/>
      <c r="H12" s="14" t="str">
        <f aca="false">IFERROR(INDEX('Platform Settings'!$E:$E,MATCH(B12,'Platform Settings'!$A:$A,0))*X12,"N/A")</f>
        <v>N/A</v>
      </c>
      <c r="I12" s="29" t="str">
        <f aca="false">IF(ISNUMBER(H12),IFERROR(G12/H12,""),"N/A")</f>
        <v>N/A</v>
      </c>
      <c r="J12" s="14" t="n">
        <v>8</v>
      </c>
      <c r="K12" s="14" t="str">
        <f aca="false">IFERROR(INDEX('Platform Settings'!$F:$F,MATCH(B12,'Platform Settings'!$A:$A,0)),"N/A")</f>
        <v>8</v>
      </c>
      <c r="L12" s="29" t="str">
        <f aca="false">IF(ISNUMBER(K12),IFERROR(J12/K12,""),"N/A")</f>
        <v>N/A</v>
      </c>
      <c r="M12" s="14"/>
      <c r="N12" s="14"/>
      <c r="O12" s="14"/>
      <c r="P12" s="14" t="n">
        <v>19</v>
      </c>
      <c r="Q12" s="14" t="n">
        <v>1</v>
      </c>
      <c r="R12" s="14" t="n">
        <v>1</v>
      </c>
      <c r="S12" s="28" t="n">
        <f aca="false">IFERROR(C12/P12,"")</f>
        <v>50.9736842105263</v>
      </c>
      <c r="T12" s="28" t="n">
        <f aca="false">IFERROR(C12/Q12,"")</f>
        <v>968.5</v>
      </c>
      <c r="U12" s="28" t="n">
        <f aca="false">IFERROR(C12/R12,"")</f>
        <v>968.5</v>
      </c>
      <c r="V12" s="29" t="n">
        <f aca="false">IFERROR(Q12/P12,"")</f>
        <v>0.0526315789473684</v>
      </c>
      <c r="W12" s="29" t="n">
        <f aca="false">IFERROR(R12/Q12,"")</f>
        <v>1</v>
      </c>
      <c r="X12" s="14" t="n">
        <v>15</v>
      </c>
      <c r="Y12" s="30" t="s">
        <v>113</v>
      </c>
    </row>
    <row r="13" customFormat="false" ht="23.85" hidden="false" customHeight="false" outlineLevel="0" collapsed="false">
      <c r="A13" s="22" t="n">
        <v>46280</v>
      </c>
      <c r="B13" s="14" t="s">
        <v>75</v>
      </c>
      <c r="C13" s="28" t="n">
        <v>869.225</v>
      </c>
      <c r="D13" s="14"/>
      <c r="E13" s="14"/>
      <c r="F13" s="29" t="str">
        <f aca="false">IFERROR(E13/D13,"")</f>
        <v/>
      </c>
      <c r="G13" s="14"/>
      <c r="H13" s="14" t="n">
        <f aca="false">IFERROR(INDEX('Platform Settings'!$E:$E,MATCH(B13,'Platform Settings'!$A:$A,0))*X13,"N/A")</f>
        <v>2054.79452054795</v>
      </c>
      <c r="I13" s="29" t="n">
        <f aca="false">IF(ISNUMBER(H13),IFERROR(G13/H13,""),"N/A")</f>
        <v>0</v>
      </c>
      <c r="J13" s="14" t="n">
        <v>35</v>
      </c>
      <c r="K13" s="14" t="str">
        <f aca="false">IFERROR(INDEX('Platform Settings'!$F:$F,MATCH(B13,'Platform Settings'!$A:$A,0)),"N/A")</f>
        <v>35</v>
      </c>
      <c r="L13" s="29" t="str">
        <f aca="false">IF(ISNUMBER(K13),IFERROR(J13/K13,""),"N/A")</f>
        <v>N/A</v>
      </c>
      <c r="M13" s="14"/>
      <c r="N13" s="14"/>
      <c r="O13" s="14"/>
      <c r="P13" s="14" t="n">
        <v>10</v>
      </c>
      <c r="Q13" s="14" t="n">
        <v>3</v>
      </c>
      <c r="R13" s="14" t="n">
        <v>0</v>
      </c>
      <c r="S13" s="28" t="n">
        <f aca="false">IFERROR(C13/P13,"")</f>
        <v>86.9225</v>
      </c>
      <c r="T13" s="28" t="n">
        <f aca="false">IFERROR(C13/Q13,"")</f>
        <v>289.741666666667</v>
      </c>
      <c r="U13" s="28" t="str">
        <f aca="false">IFERROR(C13/R13,"")</f>
        <v/>
      </c>
      <c r="V13" s="29" t="n">
        <f aca="false">IFERROR(Q13/P13,"")</f>
        <v>0.3</v>
      </c>
      <c r="W13" s="29" t="n">
        <f aca="false">IFERROR(R13/Q13,"")</f>
        <v>0</v>
      </c>
      <c r="X13" s="14" t="n">
        <v>15</v>
      </c>
      <c r="Y13" s="30" t="s">
        <v>113</v>
      </c>
    </row>
    <row r="14" customFormat="false" ht="23.85" hidden="false" customHeight="false" outlineLevel="0" collapsed="false">
      <c r="A14" s="22" t="n">
        <v>46280</v>
      </c>
      <c r="B14" s="14" t="s">
        <v>77</v>
      </c>
      <c r="C14" s="28" t="n">
        <v>291.65</v>
      </c>
      <c r="D14" s="14"/>
      <c r="E14" s="14"/>
      <c r="F14" s="29" t="str">
        <f aca="false">IFERROR(E14/D14,"")</f>
        <v/>
      </c>
      <c r="G14" s="14"/>
      <c r="H14" s="14" t="str">
        <f aca="false">IFERROR(INDEX('Platform Settings'!$E:$E,MATCH(B14,'Platform Settings'!$A:$A,0))*X14,"N/A")</f>
        <v>N/A</v>
      </c>
      <c r="I14" s="29" t="str">
        <f aca="false">IF(ISNUMBER(H14),IFERROR(G14/H14,""),"N/A")</f>
        <v>N/A</v>
      </c>
      <c r="J14" s="14"/>
      <c r="K14" s="14" t="str">
        <f aca="false">IFERROR(INDEX('Platform Settings'!$F:$F,MATCH(B14,'Platform Settings'!$A:$A,0)),"N/A")</f>
        <v>Unlimited</v>
      </c>
      <c r="L14" s="29" t="str">
        <f aca="false">IF(ISNUMBER(K14),IFERROR(J14/K14,""),"N/A")</f>
        <v>N/A</v>
      </c>
      <c r="M14" s="14"/>
      <c r="N14" s="14"/>
      <c r="O14" s="14"/>
      <c r="P14" s="14" t="n">
        <v>7</v>
      </c>
      <c r="Q14" s="14"/>
      <c r="R14" s="14" t="n">
        <v>2</v>
      </c>
      <c r="S14" s="28" t="n">
        <f aca="false">IFERROR(C14/P14,"")</f>
        <v>41.6642857142857</v>
      </c>
      <c r="T14" s="28" t="str">
        <f aca="false">IFERROR(C14/Q14,"")</f>
        <v/>
      </c>
      <c r="U14" s="28" t="n">
        <f aca="false">IFERROR(C14/R14,"")</f>
        <v>145.825</v>
      </c>
      <c r="V14" s="29" t="n">
        <f aca="false">IFERROR(Q14/P14,"")</f>
        <v>0</v>
      </c>
      <c r="W14" s="29" t="str">
        <f aca="false">IFERROR(R14/Q14,"")</f>
        <v/>
      </c>
      <c r="X14" s="14" t="n">
        <v>15</v>
      </c>
      <c r="Y14" s="30" t="s">
        <v>113</v>
      </c>
    </row>
    <row r="15" customFormat="false" ht="23.85" hidden="false" customHeight="false" outlineLevel="0" collapsed="false">
      <c r="A15" s="22" t="n">
        <v>46280</v>
      </c>
      <c r="B15" s="14" t="s">
        <v>83</v>
      </c>
      <c r="C15" s="28"/>
      <c r="D15" s="14"/>
      <c r="E15" s="14"/>
      <c r="F15" s="29" t="str">
        <f aca="false">IFERROR(E15/D15,"")</f>
        <v/>
      </c>
      <c r="G15" s="14"/>
      <c r="H15" s="14" t="str">
        <f aca="false">IFERROR(INDEX('Platform Settings'!$E:$E,MATCH(B15,'Platform Settings'!$A:$A,0))*X15,"N/A")</f>
        <v>N/A</v>
      </c>
      <c r="I15" s="29" t="str">
        <f aca="false">IF(ISNUMBER(H15),IFERROR(G15/H15,""),"N/A")</f>
        <v>N/A</v>
      </c>
      <c r="J15" s="14"/>
      <c r="K15" s="14" t="n">
        <f aca="false">IFERROR(INDEX('Platform Settings'!$F:$F,MATCH(B15,'Platform Settings'!$A:$A,0)),"N/A")</f>
        <v>0</v>
      </c>
      <c r="L15" s="29" t="str">
        <f aca="false">IF(ISNUMBER(K15),IFERROR(J15/K15,""),"N/A")</f>
        <v>N/A</v>
      </c>
      <c r="M15" s="14"/>
      <c r="N15" s="14"/>
      <c r="O15" s="14"/>
      <c r="P15" s="14"/>
      <c r="Q15" s="14"/>
      <c r="R15" s="14"/>
      <c r="S15" s="28" t="str">
        <f aca="false">IFERROR(C15/P15,"")</f>
        <v/>
      </c>
      <c r="T15" s="28" t="str">
        <f aca="false">IFERROR(C15/Q15,"")</f>
        <v/>
      </c>
      <c r="U15" s="28" t="str">
        <f aca="false">IFERROR(C15/R15,"")</f>
        <v/>
      </c>
      <c r="V15" s="29" t="str">
        <f aca="false">IFERROR(Q15/P15,"")</f>
        <v/>
      </c>
      <c r="W15" s="29" t="str">
        <f aca="false">IFERROR(R15/Q15,"")</f>
        <v/>
      </c>
      <c r="X15" s="14" t="n">
        <v>15</v>
      </c>
      <c r="Y15" s="30" t="s">
        <v>113</v>
      </c>
    </row>
    <row r="16" customFormat="false" ht="23.85" hidden="false" customHeight="false" outlineLevel="0" collapsed="false">
      <c r="A16" s="22" t="n">
        <v>46280</v>
      </c>
      <c r="B16" s="14" t="s">
        <v>87</v>
      </c>
      <c r="C16" s="28" t="n">
        <v>250</v>
      </c>
      <c r="D16" s="14"/>
      <c r="E16" s="14"/>
      <c r="F16" s="29" t="str">
        <f aca="false">IFERROR(E16/D16,"")</f>
        <v/>
      </c>
      <c r="G16" s="14"/>
      <c r="H16" s="14" t="str">
        <f aca="false">IFERROR(INDEX('Platform Settings'!$E:$E,MATCH(B16,'Platform Settings'!$A:$A,0))*X16,"N/A")</f>
        <v>N/A</v>
      </c>
      <c r="I16" s="29" t="str">
        <f aca="false">IF(ISNUMBER(H16),IFERROR(G16/H16,""),"N/A")</f>
        <v>N/A</v>
      </c>
      <c r="J16" s="14"/>
      <c r="K16" s="14" t="str">
        <f aca="false">IFERROR(INDEX('Platform Settings'!$F:$F,MATCH(B16,'Platform Settings'!$A:$A,0)),"N/A")</f>
        <v>Commission basis</v>
      </c>
      <c r="L16" s="29" t="str">
        <f aca="false">IF(ISNUMBER(K16),IFERROR(J16/K16,""),"N/A")</f>
        <v>N/A</v>
      </c>
      <c r="M16" s="14"/>
      <c r="N16" s="14"/>
      <c r="O16" s="14"/>
      <c r="P16" s="14" t="n">
        <v>6</v>
      </c>
      <c r="Q16" s="14"/>
      <c r="R16" s="14" t="n">
        <v>1</v>
      </c>
      <c r="S16" s="28" t="n">
        <f aca="false">IFERROR(C16/P16,"")</f>
        <v>41.6666666666667</v>
      </c>
      <c r="T16" s="28" t="str">
        <f aca="false">IFERROR(C16/Q16,"")</f>
        <v/>
      </c>
      <c r="U16" s="28" t="n">
        <f aca="false">IFERROR(C16/R16,"")</f>
        <v>250</v>
      </c>
      <c r="V16" s="29" t="n">
        <f aca="false">IFERROR(Q16/P16,"")</f>
        <v>0</v>
      </c>
      <c r="W16" s="29" t="str">
        <f aca="false">IFERROR(R16/Q16,"")</f>
        <v/>
      </c>
      <c r="X16" s="14" t="n">
        <v>15</v>
      </c>
      <c r="Y16" s="30" t="s">
        <v>113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24" t="s">
        <v>114</v>
      </c>
      <c r="B1" s="24"/>
      <c r="C1" s="24"/>
      <c r="D1" s="24"/>
      <c r="E1" s="24"/>
      <c r="F1" s="24"/>
      <c r="G1" s="24"/>
      <c r="H1" s="24"/>
      <c r="I1" s="24"/>
      <c r="J1" s="24"/>
    </row>
    <row r="3" customFormat="false" ht="30" hidden="false" customHeight="true" outlineLevel="0" collapsed="false">
      <c r="A3" s="13" t="s">
        <v>35</v>
      </c>
      <c r="B3" s="13" t="s">
        <v>21</v>
      </c>
      <c r="C3" s="13" t="s">
        <v>115</v>
      </c>
      <c r="D3" s="13" t="s">
        <v>116</v>
      </c>
      <c r="E3" s="13" t="s">
        <v>117</v>
      </c>
      <c r="F3" s="13" t="s">
        <v>118</v>
      </c>
      <c r="G3" s="13" t="s">
        <v>119</v>
      </c>
      <c r="H3" s="13" t="s">
        <v>98</v>
      </c>
      <c r="I3" s="13" t="s">
        <v>120</v>
      </c>
      <c r="J3" s="13" t="s">
        <v>47</v>
      </c>
    </row>
    <row r="4" customFormat="false" ht="35.05" hidden="false" customHeight="false" outlineLevel="0" collapsed="false">
      <c r="A4" s="22" t="n">
        <v>46280</v>
      </c>
      <c r="B4" s="14" t="s">
        <v>80</v>
      </c>
      <c r="C4" s="14" t="s">
        <v>121</v>
      </c>
      <c r="D4" s="14" t="s">
        <v>122</v>
      </c>
      <c r="E4" s="14"/>
      <c r="F4" s="14"/>
      <c r="G4" s="14"/>
      <c r="H4" s="14" t="n">
        <v>0</v>
      </c>
      <c r="I4" s="30" t="s">
        <v>123</v>
      </c>
      <c r="J4" s="30" t="s">
        <v>124</v>
      </c>
    </row>
    <row r="5" customFormat="false" ht="35.05" hidden="false" customHeight="false" outlineLevel="0" collapsed="false">
      <c r="A5" s="22" t="n">
        <v>46280</v>
      </c>
      <c r="B5" s="14" t="s">
        <v>80</v>
      </c>
      <c r="C5" s="14" t="s">
        <v>125</v>
      </c>
      <c r="D5" s="14" t="s">
        <v>122</v>
      </c>
      <c r="E5" s="14"/>
      <c r="F5" s="14"/>
      <c r="G5" s="14"/>
      <c r="H5" s="14" t="n">
        <v>0</v>
      </c>
      <c r="I5" s="30" t="s">
        <v>123</v>
      </c>
      <c r="J5" s="30" t="s">
        <v>126</v>
      </c>
    </row>
    <row r="6" customFormat="false" ht="35.05" hidden="false" customHeight="false" outlineLevel="0" collapsed="false">
      <c r="A6" s="22" t="n">
        <v>46280</v>
      </c>
      <c r="B6" s="14" t="s">
        <v>80</v>
      </c>
      <c r="C6" s="14" t="s">
        <v>127</v>
      </c>
      <c r="D6" s="14" t="s">
        <v>122</v>
      </c>
      <c r="E6" s="14"/>
      <c r="F6" s="14"/>
      <c r="G6" s="14"/>
      <c r="H6" s="14" t="n">
        <v>0</v>
      </c>
      <c r="I6" s="30" t="s">
        <v>123</v>
      </c>
      <c r="J6" s="30" t="s">
        <v>128</v>
      </c>
    </row>
    <row r="7" customFormat="false" ht="35.05" hidden="false" customHeight="false" outlineLevel="0" collapsed="false">
      <c r="A7" s="22" t="n">
        <v>46280</v>
      </c>
      <c r="B7" s="14" t="s">
        <v>57</v>
      </c>
      <c r="C7" s="14" t="s">
        <v>129</v>
      </c>
      <c r="D7" s="14" t="s">
        <v>122</v>
      </c>
      <c r="E7" s="14"/>
      <c r="F7" s="14"/>
      <c r="G7" s="14"/>
      <c r="H7" s="14"/>
      <c r="I7" s="30" t="s">
        <v>123</v>
      </c>
      <c r="J7" s="30" t="s">
        <v>130</v>
      </c>
    </row>
    <row r="8" customFormat="false" ht="35.05" hidden="false" customHeight="false" outlineLevel="0" collapsed="false">
      <c r="A8" s="22" t="n">
        <v>46280</v>
      </c>
      <c r="B8" s="14" t="s">
        <v>57</v>
      </c>
      <c r="C8" s="14" t="s">
        <v>131</v>
      </c>
      <c r="D8" s="14" t="s">
        <v>122</v>
      </c>
      <c r="E8" s="14"/>
      <c r="F8" s="14"/>
      <c r="G8" s="14"/>
      <c r="H8" s="14"/>
      <c r="I8" s="30" t="s">
        <v>123</v>
      </c>
      <c r="J8" s="30" t="s">
        <v>130</v>
      </c>
    </row>
    <row r="9" customFormat="false" ht="35.05" hidden="false" customHeight="false" outlineLevel="0" collapsed="false">
      <c r="A9" s="22" t="n">
        <v>46280</v>
      </c>
      <c r="B9" s="14" t="s">
        <v>57</v>
      </c>
      <c r="C9" s="14" t="s">
        <v>132</v>
      </c>
      <c r="D9" s="14" t="s">
        <v>122</v>
      </c>
      <c r="E9" s="14"/>
      <c r="F9" s="14"/>
      <c r="G9" s="14"/>
      <c r="H9" s="14"/>
      <c r="I9" s="30" t="s">
        <v>123</v>
      </c>
      <c r="J9" s="30" t="s">
        <v>133</v>
      </c>
    </row>
    <row r="10" customFormat="false" ht="35.05" hidden="false" customHeight="false" outlineLevel="0" collapsed="false">
      <c r="A10" s="22" t="n">
        <v>46280</v>
      </c>
      <c r="B10" s="14" t="s">
        <v>57</v>
      </c>
      <c r="C10" s="14" t="s">
        <v>134</v>
      </c>
      <c r="D10" s="14" t="s">
        <v>122</v>
      </c>
      <c r="E10" s="14"/>
      <c r="F10" s="14"/>
      <c r="G10" s="14"/>
      <c r="H10" s="14"/>
      <c r="I10" s="30" t="s">
        <v>123</v>
      </c>
      <c r="J10" s="30" t="s">
        <v>135</v>
      </c>
    </row>
    <row r="11" customFormat="false" ht="35.05" hidden="false" customHeight="false" outlineLevel="0" collapsed="false">
      <c r="A11" s="22" t="n">
        <v>46280</v>
      </c>
      <c r="B11" s="14" t="s">
        <v>65</v>
      </c>
      <c r="C11" s="14" t="s">
        <v>136</v>
      </c>
      <c r="D11" s="14" t="s">
        <v>122</v>
      </c>
      <c r="E11" s="14"/>
      <c r="F11" s="14"/>
      <c r="G11" s="14"/>
      <c r="H11" s="14"/>
      <c r="I11" s="30" t="s">
        <v>123</v>
      </c>
      <c r="J11" s="30" t="s">
        <v>137</v>
      </c>
    </row>
    <row r="12" customFormat="false" ht="35.05" hidden="false" customHeight="false" outlineLevel="0" collapsed="false">
      <c r="A12" s="22" t="n">
        <v>46280</v>
      </c>
      <c r="B12" s="14" t="s">
        <v>65</v>
      </c>
      <c r="C12" s="14" t="s">
        <v>138</v>
      </c>
      <c r="D12" s="14" t="s">
        <v>122</v>
      </c>
      <c r="E12" s="14"/>
      <c r="F12" s="14"/>
      <c r="G12" s="14"/>
      <c r="H12" s="14"/>
      <c r="I12" s="30" t="s">
        <v>123</v>
      </c>
      <c r="J12" s="30" t="s">
        <v>139</v>
      </c>
    </row>
    <row r="13" customFormat="false" ht="35.05" hidden="false" customHeight="false" outlineLevel="0" collapsed="false">
      <c r="A13" s="22" t="n">
        <v>46280</v>
      </c>
      <c r="B13" s="14" t="s">
        <v>65</v>
      </c>
      <c r="C13" s="14" t="s">
        <v>140</v>
      </c>
      <c r="D13" s="14" t="s">
        <v>122</v>
      </c>
      <c r="E13" s="14"/>
      <c r="F13" s="14"/>
      <c r="G13" s="14"/>
      <c r="H13" s="14"/>
      <c r="I13" s="30" t="s">
        <v>123</v>
      </c>
      <c r="J13" s="30" t="s">
        <v>141</v>
      </c>
    </row>
    <row r="14" customFormat="false" ht="35.05" hidden="false" customHeight="false" outlineLevel="0" collapsed="false">
      <c r="A14" s="22" t="n">
        <v>46280</v>
      </c>
      <c r="B14" s="14" t="s">
        <v>65</v>
      </c>
      <c r="C14" s="14" t="s">
        <v>142</v>
      </c>
      <c r="D14" s="14" t="s">
        <v>122</v>
      </c>
      <c r="E14" s="14"/>
      <c r="F14" s="14"/>
      <c r="G14" s="14"/>
      <c r="H14" s="14"/>
      <c r="I14" s="30" t="s">
        <v>123</v>
      </c>
      <c r="J14" s="30" t="s">
        <v>143</v>
      </c>
    </row>
    <row r="15" customFormat="false" ht="35.05" hidden="false" customHeight="false" outlineLevel="0" collapsed="false">
      <c r="A15" s="22" t="n">
        <v>46280</v>
      </c>
      <c r="B15" s="14" t="s">
        <v>65</v>
      </c>
      <c r="C15" s="14" t="s">
        <v>144</v>
      </c>
      <c r="D15" s="14" t="s">
        <v>122</v>
      </c>
      <c r="E15" s="14"/>
      <c r="F15" s="14"/>
      <c r="G15" s="14"/>
      <c r="H15" s="14"/>
      <c r="I15" s="30" t="s">
        <v>123</v>
      </c>
      <c r="J15" s="30" t="s">
        <v>145</v>
      </c>
    </row>
    <row r="16" customFormat="false" ht="35.05" hidden="false" customHeight="false" outlineLevel="0" collapsed="false">
      <c r="A16" s="22" t="n">
        <v>46280</v>
      </c>
      <c r="B16" s="14" t="s">
        <v>65</v>
      </c>
      <c r="C16" s="14" t="s">
        <v>146</v>
      </c>
      <c r="D16" s="14" t="s">
        <v>122</v>
      </c>
      <c r="E16" s="14"/>
      <c r="F16" s="14"/>
      <c r="G16" s="14"/>
      <c r="H16" s="14"/>
      <c r="I16" s="30" t="s">
        <v>123</v>
      </c>
      <c r="J16" s="30" t="s">
        <v>147</v>
      </c>
    </row>
    <row r="17" customFormat="false" ht="35.05" hidden="false" customHeight="false" outlineLevel="0" collapsed="false">
      <c r="A17" s="22" t="n">
        <v>46280</v>
      </c>
      <c r="B17" s="14" t="s">
        <v>65</v>
      </c>
      <c r="C17" s="14" t="s">
        <v>148</v>
      </c>
      <c r="D17" s="14" t="s">
        <v>122</v>
      </c>
      <c r="E17" s="14"/>
      <c r="F17" s="14"/>
      <c r="G17" s="14"/>
      <c r="H17" s="14"/>
      <c r="I17" s="30" t="s">
        <v>123</v>
      </c>
      <c r="J17" s="30" t="s">
        <v>149</v>
      </c>
    </row>
    <row r="18" customFormat="false" ht="35.05" hidden="false" customHeight="false" outlineLevel="0" collapsed="false">
      <c r="A18" s="22" t="n">
        <v>46280</v>
      </c>
      <c r="B18" s="14" t="s">
        <v>65</v>
      </c>
      <c r="C18" s="14" t="s">
        <v>150</v>
      </c>
      <c r="D18" s="14" t="s">
        <v>122</v>
      </c>
      <c r="E18" s="14"/>
      <c r="F18" s="14"/>
      <c r="G18" s="14"/>
      <c r="H18" s="14"/>
      <c r="I18" s="30" t="s">
        <v>123</v>
      </c>
      <c r="J18" s="30" t="s">
        <v>145</v>
      </c>
    </row>
    <row r="19" customFormat="false" ht="35.05" hidden="false" customHeight="false" outlineLevel="0" collapsed="false">
      <c r="A19" s="22" t="n">
        <v>46280</v>
      </c>
      <c r="B19" s="14" t="s">
        <v>65</v>
      </c>
      <c r="C19" s="14" t="s">
        <v>151</v>
      </c>
      <c r="D19" s="14" t="s">
        <v>122</v>
      </c>
      <c r="E19" s="14"/>
      <c r="F19" s="14"/>
      <c r="G19" s="14"/>
      <c r="H19" s="14"/>
      <c r="I19" s="30" t="s">
        <v>123</v>
      </c>
      <c r="J19" s="30" t="s">
        <v>152</v>
      </c>
    </row>
    <row r="20" customFormat="false" ht="35.05" hidden="false" customHeight="false" outlineLevel="0" collapsed="false">
      <c r="A20" s="22" t="n">
        <v>46280</v>
      </c>
      <c r="B20" s="14" t="s">
        <v>65</v>
      </c>
      <c r="C20" s="14" t="s">
        <v>153</v>
      </c>
      <c r="D20" s="14" t="s">
        <v>122</v>
      </c>
      <c r="E20" s="14"/>
      <c r="F20" s="14"/>
      <c r="G20" s="14"/>
      <c r="H20" s="14"/>
      <c r="I20" s="30" t="s">
        <v>123</v>
      </c>
      <c r="J20" s="30" t="s">
        <v>152</v>
      </c>
    </row>
    <row r="21" customFormat="false" ht="35.05" hidden="false" customHeight="false" outlineLevel="0" collapsed="false">
      <c r="A21" s="22" t="n">
        <v>46280</v>
      </c>
      <c r="B21" s="14" t="s">
        <v>65</v>
      </c>
      <c r="C21" s="14" t="s">
        <v>154</v>
      </c>
      <c r="D21" s="14" t="s">
        <v>122</v>
      </c>
      <c r="E21" s="14"/>
      <c r="F21" s="14"/>
      <c r="G21" s="14"/>
      <c r="H21" s="14"/>
      <c r="I21" s="30" t="s">
        <v>123</v>
      </c>
      <c r="J21" s="30" t="s">
        <v>155</v>
      </c>
    </row>
    <row r="22" customFormat="false" ht="35.05" hidden="false" customHeight="false" outlineLevel="0" collapsed="false">
      <c r="A22" s="22" t="n">
        <v>46280</v>
      </c>
      <c r="B22" s="14" t="s">
        <v>65</v>
      </c>
      <c r="C22" s="14" t="s">
        <v>156</v>
      </c>
      <c r="D22" s="14" t="s">
        <v>122</v>
      </c>
      <c r="E22" s="14"/>
      <c r="F22" s="14"/>
      <c r="G22" s="14"/>
      <c r="H22" s="14"/>
      <c r="I22" s="30" t="s">
        <v>123</v>
      </c>
      <c r="J22" s="30" t="s">
        <v>157</v>
      </c>
    </row>
    <row r="23" customFormat="false" ht="35.05" hidden="false" customHeight="false" outlineLevel="0" collapsed="false">
      <c r="A23" s="22" t="n">
        <v>46280</v>
      </c>
      <c r="B23" s="14" t="s">
        <v>65</v>
      </c>
      <c r="C23" s="14" t="s">
        <v>158</v>
      </c>
      <c r="D23" s="14" t="s">
        <v>122</v>
      </c>
      <c r="E23" s="14"/>
      <c r="F23" s="14"/>
      <c r="G23" s="14"/>
      <c r="H23" s="14"/>
      <c r="I23" s="30" t="s">
        <v>123</v>
      </c>
      <c r="J23" s="30" t="s">
        <v>159</v>
      </c>
    </row>
    <row r="24" customFormat="false" ht="35.05" hidden="false" customHeight="false" outlineLevel="0" collapsed="false">
      <c r="A24" s="22" t="n">
        <v>46280</v>
      </c>
      <c r="B24" s="14" t="s">
        <v>65</v>
      </c>
      <c r="C24" s="14" t="s">
        <v>160</v>
      </c>
      <c r="D24" s="14" t="s">
        <v>122</v>
      </c>
      <c r="E24" s="14"/>
      <c r="F24" s="14"/>
      <c r="G24" s="14"/>
      <c r="H24" s="14"/>
      <c r="I24" s="30" t="s">
        <v>123</v>
      </c>
      <c r="J24" s="30" t="s">
        <v>161</v>
      </c>
    </row>
    <row r="25" customFormat="false" ht="35.05" hidden="false" customHeight="false" outlineLevel="0" collapsed="false">
      <c r="A25" s="22" t="n">
        <v>46280</v>
      </c>
      <c r="B25" s="14" t="s">
        <v>65</v>
      </c>
      <c r="C25" s="14" t="s">
        <v>162</v>
      </c>
      <c r="D25" s="14" t="s">
        <v>122</v>
      </c>
      <c r="E25" s="14"/>
      <c r="F25" s="14"/>
      <c r="G25" s="14"/>
      <c r="H25" s="14"/>
      <c r="I25" s="30" t="s">
        <v>123</v>
      </c>
      <c r="J25" s="30" t="s">
        <v>163</v>
      </c>
    </row>
    <row r="26" customFormat="false" ht="35.05" hidden="false" customHeight="false" outlineLevel="0" collapsed="false">
      <c r="A26" s="22" t="n">
        <v>46280</v>
      </c>
      <c r="B26" s="14" t="s">
        <v>65</v>
      </c>
      <c r="C26" s="14" t="s">
        <v>164</v>
      </c>
      <c r="D26" s="14" t="s">
        <v>122</v>
      </c>
      <c r="E26" s="14"/>
      <c r="F26" s="14"/>
      <c r="G26" s="14"/>
      <c r="H26" s="14"/>
      <c r="I26" s="30" t="s">
        <v>123</v>
      </c>
      <c r="J26" s="30" t="s">
        <v>165</v>
      </c>
    </row>
    <row r="27" customFormat="false" ht="35.05" hidden="false" customHeight="false" outlineLevel="0" collapsed="false">
      <c r="A27" s="22" t="n">
        <v>46280</v>
      </c>
      <c r="B27" s="14" t="s">
        <v>65</v>
      </c>
      <c r="C27" s="14" t="s">
        <v>166</v>
      </c>
      <c r="D27" s="14" t="s">
        <v>122</v>
      </c>
      <c r="E27" s="14"/>
      <c r="F27" s="14"/>
      <c r="G27" s="14"/>
      <c r="H27" s="14"/>
      <c r="I27" s="30" t="s">
        <v>123</v>
      </c>
      <c r="J27" s="30" t="s">
        <v>157</v>
      </c>
    </row>
    <row r="28" customFormat="false" ht="35.05" hidden="false" customHeight="false" outlineLevel="0" collapsed="false">
      <c r="A28" s="22" t="n">
        <v>46280</v>
      </c>
      <c r="B28" s="14" t="s">
        <v>65</v>
      </c>
      <c r="C28" s="14" t="s">
        <v>167</v>
      </c>
      <c r="D28" s="14" t="s">
        <v>122</v>
      </c>
      <c r="E28" s="14"/>
      <c r="F28" s="14"/>
      <c r="G28" s="14"/>
      <c r="H28" s="14"/>
      <c r="I28" s="30" t="s">
        <v>123</v>
      </c>
      <c r="J28" s="30" t="s">
        <v>168</v>
      </c>
    </row>
    <row r="29" customFormat="false" ht="35.05" hidden="false" customHeight="false" outlineLevel="0" collapsed="false">
      <c r="A29" s="22" t="n">
        <v>46280</v>
      </c>
      <c r="B29" s="14" t="s">
        <v>65</v>
      </c>
      <c r="C29" s="14" t="s">
        <v>169</v>
      </c>
      <c r="D29" s="14" t="s">
        <v>122</v>
      </c>
      <c r="E29" s="14"/>
      <c r="F29" s="14"/>
      <c r="G29" s="14"/>
      <c r="H29" s="14"/>
      <c r="I29" s="30" t="s">
        <v>123</v>
      </c>
      <c r="J29" s="30" t="s">
        <v>170</v>
      </c>
    </row>
    <row r="30" customFormat="false" ht="35.05" hidden="false" customHeight="false" outlineLevel="0" collapsed="false">
      <c r="A30" s="22" t="n">
        <v>46280</v>
      </c>
      <c r="B30" s="14" t="s">
        <v>65</v>
      </c>
      <c r="C30" s="14" t="s">
        <v>171</v>
      </c>
      <c r="D30" s="14" t="s">
        <v>122</v>
      </c>
      <c r="E30" s="14"/>
      <c r="F30" s="14"/>
      <c r="G30" s="14"/>
      <c r="H30" s="14"/>
      <c r="I30" s="30" t="s">
        <v>123</v>
      </c>
      <c r="J30" s="30" t="s">
        <v>172</v>
      </c>
    </row>
    <row r="31" customFormat="false" ht="35.05" hidden="false" customHeight="false" outlineLevel="0" collapsed="false">
      <c r="A31" s="22" t="n">
        <v>46280</v>
      </c>
      <c r="B31" s="14" t="s">
        <v>65</v>
      </c>
      <c r="C31" s="14" t="s">
        <v>173</v>
      </c>
      <c r="D31" s="14" t="s">
        <v>122</v>
      </c>
      <c r="E31" s="14"/>
      <c r="F31" s="14"/>
      <c r="G31" s="14"/>
      <c r="H31" s="14"/>
      <c r="I31" s="30" t="s">
        <v>123</v>
      </c>
      <c r="J31" s="30" t="s">
        <v>174</v>
      </c>
    </row>
    <row r="32" customFormat="false" ht="35.05" hidden="false" customHeight="false" outlineLevel="0" collapsed="false">
      <c r="A32" s="22" t="n">
        <v>46280</v>
      </c>
      <c r="B32" s="14" t="s">
        <v>65</v>
      </c>
      <c r="C32" s="14" t="s">
        <v>175</v>
      </c>
      <c r="D32" s="14" t="s">
        <v>122</v>
      </c>
      <c r="E32" s="14"/>
      <c r="F32" s="14"/>
      <c r="G32" s="14"/>
      <c r="H32" s="14"/>
      <c r="I32" s="30" t="s">
        <v>123</v>
      </c>
      <c r="J32" s="30" t="s">
        <v>176</v>
      </c>
    </row>
    <row r="33" customFormat="false" ht="35.05" hidden="false" customHeight="false" outlineLevel="0" collapsed="false">
      <c r="A33" s="22" t="n">
        <v>46280</v>
      </c>
      <c r="B33" s="14" t="s">
        <v>65</v>
      </c>
      <c r="C33" s="14" t="s">
        <v>177</v>
      </c>
      <c r="D33" s="14" t="s">
        <v>122</v>
      </c>
      <c r="E33" s="14"/>
      <c r="F33" s="14"/>
      <c r="G33" s="14"/>
      <c r="H33" s="14"/>
      <c r="I33" s="30" t="s">
        <v>123</v>
      </c>
      <c r="J33" s="30" t="s">
        <v>137</v>
      </c>
    </row>
    <row r="34" customFormat="false" ht="35.05" hidden="false" customHeight="false" outlineLevel="0" collapsed="false">
      <c r="A34" s="22" t="n">
        <v>46280</v>
      </c>
      <c r="B34" s="14" t="s">
        <v>65</v>
      </c>
      <c r="C34" s="14" t="s">
        <v>178</v>
      </c>
      <c r="D34" s="14" t="s">
        <v>122</v>
      </c>
      <c r="E34" s="14"/>
      <c r="F34" s="14"/>
      <c r="G34" s="14"/>
      <c r="H34" s="14"/>
      <c r="I34" s="30" t="s">
        <v>123</v>
      </c>
      <c r="J34" s="30" t="s">
        <v>179</v>
      </c>
    </row>
    <row r="35" customFormat="false" ht="35.05" hidden="false" customHeight="false" outlineLevel="0" collapsed="false">
      <c r="A35" s="22" t="n">
        <v>46280</v>
      </c>
      <c r="B35" s="14" t="s">
        <v>65</v>
      </c>
      <c r="C35" s="14" t="s">
        <v>180</v>
      </c>
      <c r="D35" s="14" t="s">
        <v>122</v>
      </c>
      <c r="E35" s="14"/>
      <c r="F35" s="14"/>
      <c r="G35" s="14"/>
      <c r="H35" s="14"/>
      <c r="I35" s="30" t="s">
        <v>123</v>
      </c>
      <c r="J35" s="30" t="s">
        <v>181</v>
      </c>
    </row>
    <row r="36" customFormat="false" ht="35.05" hidden="false" customHeight="false" outlineLevel="0" collapsed="false">
      <c r="A36" s="22" t="n">
        <v>46280</v>
      </c>
      <c r="B36" s="14" t="s">
        <v>65</v>
      </c>
      <c r="C36" s="14" t="s">
        <v>182</v>
      </c>
      <c r="D36" s="14" t="s">
        <v>122</v>
      </c>
      <c r="E36" s="14"/>
      <c r="F36" s="14"/>
      <c r="G36" s="14"/>
      <c r="H36" s="14"/>
      <c r="I36" s="30" t="s">
        <v>123</v>
      </c>
      <c r="J36" s="30" t="s">
        <v>170</v>
      </c>
    </row>
    <row r="37" customFormat="false" ht="35.05" hidden="false" customHeight="false" outlineLevel="0" collapsed="false">
      <c r="A37" s="22" t="n">
        <v>46280</v>
      </c>
      <c r="B37" s="14" t="s">
        <v>65</v>
      </c>
      <c r="C37" s="14" t="s">
        <v>183</v>
      </c>
      <c r="D37" s="14" t="s">
        <v>122</v>
      </c>
      <c r="E37" s="14"/>
      <c r="F37" s="14"/>
      <c r="G37" s="14"/>
      <c r="H37" s="14"/>
      <c r="I37" s="30" t="s">
        <v>123</v>
      </c>
      <c r="J37" s="30" t="s">
        <v>184</v>
      </c>
    </row>
    <row r="38" customFormat="false" ht="35.05" hidden="false" customHeight="false" outlineLevel="0" collapsed="false">
      <c r="A38" s="22" t="n">
        <v>46280</v>
      </c>
      <c r="B38" s="14" t="s">
        <v>65</v>
      </c>
      <c r="C38" s="14" t="s">
        <v>185</v>
      </c>
      <c r="D38" s="14" t="s">
        <v>122</v>
      </c>
      <c r="E38" s="14"/>
      <c r="F38" s="14"/>
      <c r="G38" s="14"/>
      <c r="H38" s="14"/>
      <c r="I38" s="30" t="s">
        <v>123</v>
      </c>
      <c r="J38" s="30" t="s">
        <v>174</v>
      </c>
    </row>
    <row r="39" customFormat="false" ht="35.05" hidden="false" customHeight="false" outlineLevel="0" collapsed="false">
      <c r="A39" s="22" t="n">
        <v>46280</v>
      </c>
      <c r="B39" s="14" t="s">
        <v>65</v>
      </c>
      <c r="C39" s="14" t="s">
        <v>186</v>
      </c>
      <c r="D39" s="14" t="s">
        <v>122</v>
      </c>
      <c r="E39" s="14"/>
      <c r="F39" s="14"/>
      <c r="G39" s="14"/>
      <c r="H39" s="14"/>
      <c r="I39" s="30" t="s">
        <v>123</v>
      </c>
      <c r="J39" s="30" t="s">
        <v>149</v>
      </c>
    </row>
    <row r="40" customFormat="false" ht="35.05" hidden="false" customHeight="false" outlineLevel="0" collapsed="false">
      <c r="A40" s="22" t="n">
        <v>46280</v>
      </c>
      <c r="B40" s="14" t="s">
        <v>65</v>
      </c>
      <c r="C40" s="14" t="s">
        <v>187</v>
      </c>
      <c r="D40" s="14" t="s">
        <v>122</v>
      </c>
      <c r="E40" s="14"/>
      <c r="F40" s="14"/>
      <c r="G40" s="14"/>
      <c r="H40" s="14"/>
      <c r="I40" s="30" t="s">
        <v>123</v>
      </c>
      <c r="J40" s="30" t="s">
        <v>184</v>
      </c>
    </row>
    <row r="41" customFormat="false" ht="35.05" hidden="false" customHeight="false" outlineLevel="0" collapsed="false">
      <c r="A41" s="22" t="n">
        <v>46280</v>
      </c>
      <c r="B41" s="14" t="s">
        <v>65</v>
      </c>
      <c r="C41" s="14" t="s">
        <v>188</v>
      </c>
      <c r="D41" s="14" t="s">
        <v>122</v>
      </c>
      <c r="E41" s="14"/>
      <c r="F41" s="14"/>
      <c r="G41" s="14"/>
      <c r="H41" s="14"/>
      <c r="I41" s="30" t="s">
        <v>123</v>
      </c>
      <c r="J41" s="30" t="s">
        <v>189</v>
      </c>
    </row>
    <row r="42" customFormat="false" ht="35.05" hidden="false" customHeight="false" outlineLevel="0" collapsed="false">
      <c r="A42" s="22" t="n">
        <v>46280</v>
      </c>
      <c r="B42" s="14" t="s">
        <v>65</v>
      </c>
      <c r="C42" s="14" t="s">
        <v>190</v>
      </c>
      <c r="D42" s="14" t="s">
        <v>122</v>
      </c>
      <c r="E42" s="14"/>
      <c r="F42" s="14"/>
      <c r="G42" s="14"/>
      <c r="H42" s="14"/>
      <c r="I42" s="30" t="s">
        <v>123</v>
      </c>
      <c r="J42" s="30" t="s">
        <v>191</v>
      </c>
    </row>
    <row r="43" customFormat="false" ht="35.05" hidden="false" customHeight="false" outlineLevel="0" collapsed="false">
      <c r="A43" s="22" t="n">
        <v>46280</v>
      </c>
      <c r="B43" s="14" t="s">
        <v>65</v>
      </c>
      <c r="C43" s="14" t="s">
        <v>192</v>
      </c>
      <c r="D43" s="14" t="s">
        <v>122</v>
      </c>
      <c r="E43" s="14"/>
      <c r="F43" s="14"/>
      <c r="G43" s="14"/>
      <c r="H43" s="14"/>
      <c r="I43" s="30" t="s">
        <v>123</v>
      </c>
      <c r="J43" s="30" t="s">
        <v>172</v>
      </c>
    </row>
    <row r="44" customFormat="false" ht="35.05" hidden="false" customHeight="false" outlineLevel="0" collapsed="false">
      <c r="A44" s="22" t="n">
        <v>46280</v>
      </c>
      <c r="B44" s="14" t="s">
        <v>65</v>
      </c>
      <c r="C44" s="14" t="s">
        <v>193</v>
      </c>
      <c r="D44" s="14" t="s">
        <v>122</v>
      </c>
      <c r="E44" s="14"/>
      <c r="F44" s="14"/>
      <c r="G44" s="14"/>
      <c r="H44" s="14"/>
      <c r="I44" s="30" t="s">
        <v>123</v>
      </c>
      <c r="J44" s="30" t="s">
        <v>194</v>
      </c>
    </row>
    <row r="45" customFormat="false" ht="35.05" hidden="false" customHeight="false" outlineLevel="0" collapsed="false">
      <c r="A45" s="22" t="n">
        <v>46280</v>
      </c>
      <c r="B45" s="14" t="s">
        <v>65</v>
      </c>
      <c r="C45" s="14" t="s">
        <v>195</v>
      </c>
      <c r="D45" s="14" t="s">
        <v>122</v>
      </c>
      <c r="E45" s="14"/>
      <c r="F45" s="14"/>
      <c r="G45" s="14"/>
      <c r="H45" s="14"/>
      <c r="I45" s="30" t="s">
        <v>123</v>
      </c>
      <c r="J45" s="30" t="s">
        <v>196</v>
      </c>
    </row>
    <row r="46" customFormat="false" ht="35.05" hidden="false" customHeight="false" outlineLevel="0" collapsed="false">
      <c r="A46" s="22" t="n">
        <v>46280</v>
      </c>
      <c r="B46" s="14" t="s">
        <v>65</v>
      </c>
      <c r="C46" s="14" t="s">
        <v>197</v>
      </c>
      <c r="D46" s="14" t="s">
        <v>122</v>
      </c>
      <c r="E46" s="14"/>
      <c r="F46" s="14"/>
      <c r="G46" s="14"/>
      <c r="H46" s="14"/>
      <c r="I46" s="30" t="s">
        <v>123</v>
      </c>
      <c r="J46" s="30" t="s">
        <v>196</v>
      </c>
    </row>
    <row r="47" customFormat="false" ht="35.05" hidden="false" customHeight="false" outlineLevel="0" collapsed="false">
      <c r="A47" s="22" t="n">
        <v>46280</v>
      </c>
      <c r="B47" s="14" t="s">
        <v>65</v>
      </c>
      <c r="C47" s="14" t="s">
        <v>198</v>
      </c>
      <c r="D47" s="14" t="s">
        <v>122</v>
      </c>
      <c r="E47" s="14"/>
      <c r="F47" s="14"/>
      <c r="G47" s="14"/>
      <c r="H47" s="14"/>
      <c r="I47" s="30" t="s">
        <v>123</v>
      </c>
      <c r="J47" s="30" t="s">
        <v>199</v>
      </c>
    </row>
    <row r="48" customFormat="false" ht="35.05" hidden="false" customHeight="false" outlineLevel="0" collapsed="false">
      <c r="A48" s="22" t="n">
        <v>46280</v>
      </c>
      <c r="B48" s="14" t="s">
        <v>65</v>
      </c>
      <c r="C48" s="14" t="s">
        <v>200</v>
      </c>
      <c r="D48" s="14" t="s">
        <v>122</v>
      </c>
      <c r="E48" s="14"/>
      <c r="F48" s="14"/>
      <c r="G48" s="14"/>
      <c r="H48" s="14"/>
      <c r="I48" s="30" t="s">
        <v>123</v>
      </c>
      <c r="J48" s="30" t="s">
        <v>201</v>
      </c>
    </row>
    <row r="49" customFormat="false" ht="35.05" hidden="false" customHeight="false" outlineLevel="0" collapsed="false">
      <c r="A49" s="22" t="n">
        <v>46280</v>
      </c>
      <c r="B49" s="14" t="s">
        <v>65</v>
      </c>
      <c r="C49" s="14" t="s">
        <v>202</v>
      </c>
      <c r="D49" s="14" t="s">
        <v>122</v>
      </c>
      <c r="E49" s="14"/>
      <c r="F49" s="14"/>
      <c r="G49" s="14"/>
      <c r="H49" s="14"/>
      <c r="I49" s="30" t="s">
        <v>123</v>
      </c>
      <c r="J49" s="30" t="s">
        <v>203</v>
      </c>
    </row>
    <row r="50" customFormat="false" ht="35.05" hidden="false" customHeight="false" outlineLevel="0" collapsed="false">
      <c r="A50" s="22" t="n">
        <v>46280</v>
      </c>
      <c r="B50" s="14" t="s">
        <v>65</v>
      </c>
      <c r="C50" s="14" t="s">
        <v>204</v>
      </c>
      <c r="D50" s="14" t="s">
        <v>122</v>
      </c>
      <c r="E50" s="14"/>
      <c r="F50" s="14"/>
      <c r="G50" s="14"/>
      <c r="H50" s="14"/>
      <c r="I50" s="30" t="s">
        <v>123</v>
      </c>
      <c r="J50" s="30" t="s">
        <v>157</v>
      </c>
    </row>
    <row r="51" customFormat="false" ht="35.05" hidden="false" customHeight="false" outlineLevel="0" collapsed="false">
      <c r="A51" s="22" t="n">
        <v>46280</v>
      </c>
      <c r="B51" s="14" t="s">
        <v>65</v>
      </c>
      <c r="C51" s="14" t="s">
        <v>205</v>
      </c>
      <c r="D51" s="14" t="s">
        <v>122</v>
      </c>
      <c r="E51" s="14"/>
      <c r="F51" s="14"/>
      <c r="G51" s="14"/>
      <c r="H51" s="14"/>
      <c r="I51" s="30" t="s">
        <v>123</v>
      </c>
      <c r="J51" s="30" t="s">
        <v>141</v>
      </c>
    </row>
    <row r="52" customFormat="false" ht="35.05" hidden="false" customHeight="false" outlineLevel="0" collapsed="false">
      <c r="A52" s="22" t="n">
        <v>46280</v>
      </c>
      <c r="B52" s="14" t="s">
        <v>65</v>
      </c>
      <c r="C52" s="14" t="s">
        <v>206</v>
      </c>
      <c r="D52" s="14" t="s">
        <v>122</v>
      </c>
      <c r="E52" s="14"/>
      <c r="F52" s="14"/>
      <c r="G52" s="14"/>
      <c r="H52" s="14"/>
      <c r="I52" s="30" t="s">
        <v>123</v>
      </c>
      <c r="J52" s="30" t="s">
        <v>207</v>
      </c>
    </row>
    <row r="53" customFormat="false" ht="35.05" hidden="false" customHeight="false" outlineLevel="0" collapsed="false">
      <c r="A53" s="22" t="n">
        <v>46280</v>
      </c>
      <c r="B53" s="14" t="s">
        <v>65</v>
      </c>
      <c r="C53" s="14" t="s">
        <v>208</v>
      </c>
      <c r="D53" s="14" t="s">
        <v>122</v>
      </c>
      <c r="E53" s="14"/>
      <c r="F53" s="14"/>
      <c r="G53" s="14"/>
      <c r="H53" s="14"/>
      <c r="I53" s="30" t="s">
        <v>123</v>
      </c>
      <c r="J53" s="30" t="s">
        <v>209</v>
      </c>
    </row>
    <row r="54" customFormat="false" ht="35.05" hidden="false" customHeight="false" outlineLevel="0" collapsed="false">
      <c r="A54" s="22" t="n">
        <v>46280</v>
      </c>
      <c r="B54" s="14" t="s">
        <v>65</v>
      </c>
      <c r="C54" s="14" t="s">
        <v>210</v>
      </c>
      <c r="D54" s="14" t="s">
        <v>122</v>
      </c>
      <c r="E54" s="14"/>
      <c r="F54" s="14"/>
      <c r="G54" s="14"/>
      <c r="H54" s="14"/>
      <c r="I54" s="30" t="s">
        <v>123</v>
      </c>
      <c r="J54" s="30" t="s">
        <v>211</v>
      </c>
    </row>
    <row r="55" customFormat="false" ht="35.05" hidden="false" customHeight="false" outlineLevel="0" collapsed="false">
      <c r="A55" s="22" t="n">
        <v>46280</v>
      </c>
      <c r="B55" s="14" t="s">
        <v>65</v>
      </c>
      <c r="C55" s="14" t="s">
        <v>212</v>
      </c>
      <c r="D55" s="14" t="s">
        <v>122</v>
      </c>
      <c r="E55" s="14"/>
      <c r="F55" s="14"/>
      <c r="G55" s="14"/>
      <c r="H55" s="14"/>
      <c r="I55" s="30" t="s">
        <v>123</v>
      </c>
      <c r="J55" s="30" t="s">
        <v>172</v>
      </c>
    </row>
    <row r="56" customFormat="false" ht="35.05" hidden="false" customHeight="false" outlineLevel="0" collapsed="false">
      <c r="A56" s="22" t="n">
        <v>46280</v>
      </c>
      <c r="B56" s="14" t="s">
        <v>65</v>
      </c>
      <c r="C56" s="14" t="s">
        <v>213</v>
      </c>
      <c r="D56" s="14" t="s">
        <v>122</v>
      </c>
      <c r="E56" s="14"/>
      <c r="F56" s="14"/>
      <c r="G56" s="14"/>
      <c r="H56" s="14"/>
      <c r="I56" s="30" t="s">
        <v>123</v>
      </c>
      <c r="J56" s="30" t="s">
        <v>214</v>
      </c>
    </row>
    <row r="57" customFormat="false" ht="35.05" hidden="false" customHeight="false" outlineLevel="0" collapsed="false">
      <c r="A57" s="22" t="n">
        <v>46280</v>
      </c>
      <c r="B57" s="14" t="s">
        <v>65</v>
      </c>
      <c r="C57" s="14" t="s">
        <v>215</v>
      </c>
      <c r="D57" s="14" t="s">
        <v>122</v>
      </c>
      <c r="E57" s="14"/>
      <c r="F57" s="14"/>
      <c r="G57" s="14"/>
      <c r="H57" s="14"/>
      <c r="I57" s="30" t="s">
        <v>123</v>
      </c>
      <c r="J57" s="30" t="s">
        <v>216</v>
      </c>
    </row>
    <row r="58" customFormat="false" ht="35.05" hidden="false" customHeight="false" outlineLevel="0" collapsed="false">
      <c r="A58" s="22" t="n">
        <v>46280</v>
      </c>
      <c r="B58" s="14" t="s">
        <v>65</v>
      </c>
      <c r="C58" s="14" t="s">
        <v>217</v>
      </c>
      <c r="D58" s="14" t="s">
        <v>122</v>
      </c>
      <c r="E58" s="14"/>
      <c r="F58" s="14"/>
      <c r="G58" s="14"/>
      <c r="H58" s="14"/>
      <c r="I58" s="30" t="s">
        <v>123</v>
      </c>
      <c r="J58" s="30" t="s">
        <v>218</v>
      </c>
    </row>
    <row r="59" customFormat="false" ht="35.05" hidden="false" customHeight="false" outlineLevel="0" collapsed="false">
      <c r="A59" s="22" t="n">
        <v>46280</v>
      </c>
      <c r="B59" s="14" t="s">
        <v>65</v>
      </c>
      <c r="C59" s="14" t="s">
        <v>219</v>
      </c>
      <c r="D59" s="14" t="s">
        <v>122</v>
      </c>
      <c r="E59" s="14"/>
      <c r="F59" s="14"/>
      <c r="G59" s="14"/>
      <c r="H59" s="14"/>
      <c r="I59" s="30" t="s">
        <v>123</v>
      </c>
      <c r="J59" s="30" t="s">
        <v>209</v>
      </c>
    </row>
    <row r="60" customFormat="false" ht="35.05" hidden="false" customHeight="false" outlineLevel="0" collapsed="false">
      <c r="A60" s="22" t="n">
        <v>46280</v>
      </c>
      <c r="B60" s="14" t="s">
        <v>65</v>
      </c>
      <c r="C60" s="14" t="s">
        <v>220</v>
      </c>
      <c r="D60" s="14" t="s">
        <v>122</v>
      </c>
      <c r="E60" s="14"/>
      <c r="F60" s="14"/>
      <c r="G60" s="14"/>
      <c r="H60" s="14"/>
      <c r="I60" s="30" t="s">
        <v>123</v>
      </c>
      <c r="J60" s="30" t="s">
        <v>209</v>
      </c>
    </row>
    <row r="61" customFormat="false" ht="35.05" hidden="false" customHeight="false" outlineLevel="0" collapsed="false">
      <c r="A61" s="22" t="n">
        <v>46280</v>
      </c>
      <c r="B61" s="14" t="s">
        <v>65</v>
      </c>
      <c r="C61" s="14" t="s">
        <v>221</v>
      </c>
      <c r="D61" s="14" t="s">
        <v>122</v>
      </c>
      <c r="E61" s="14"/>
      <c r="F61" s="14"/>
      <c r="G61" s="14"/>
      <c r="H61" s="14"/>
      <c r="I61" s="30" t="s">
        <v>123</v>
      </c>
      <c r="J61" s="30" t="s">
        <v>214</v>
      </c>
    </row>
    <row r="62" customFormat="false" ht="35.05" hidden="false" customHeight="false" outlineLevel="0" collapsed="false">
      <c r="A62" s="22" t="n">
        <v>46280</v>
      </c>
      <c r="B62" s="14" t="s">
        <v>65</v>
      </c>
      <c r="C62" s="14" t="s">
        <v>222</v>
      </c>
      <c r="D62" s="14" t="s">
        <v>122</v>
      </c>
      <c r="E62" s="14"/>
      <c r="F62" s="14"/>
      <c r="G62" s="14"/>
      <c r="H62" s="14"/>
      <c r="I62" s="30" t="s">
        <v>123</v>
      </c>
      <c r="J62" s="30" t="s">
        <v>223</v>
      </c>
    </row>
    <row r="63" customFormat="false" ht="35.05" hidden="false" customHeight="false" outlineLevel="0" collapsed="false">
      <c r="A63" s="22" t="n">
        <v>46280</v>
      </c>
      <c r="B63" s="14" t="s">
        <v>65</v>
      </c>
      <c r="C63" s="14" t="s">
        <v>224</v>
      </c>
      <c r="D63" s="14" t="s">
        <v>122</v>
      </c>
      <c r="E63" s="14"/>
      <c r="F63" s="14"/>
      <c r="G63" s="14"/>
      <c r="H63" s="14"/>
      <c r="I63" s="30" t="s">
        <v>123</v>
      </c>
      <c r="J63" s="30" t="s">
        <v>225</v>
      </c>
    </row>
    <row r="64" customFormat="false" ht="35.05" hidden="false" customHeight="false" outlineLevel="0" collapsed="false">
      <c r="A64" s="22" t="n">
        <v>46280</v>
      </c>
      <c r="B64" s="14" t="s">
        <v>65</v>
      </c>
      <c r="C64" s="14" t="s">
        <v>226</v>
      </c>
      <c r="D64" s="14" t="s">
        <v>122</v>
      </c>
      <c r="E64" s="14"/>
      <c r="F64" s="14"/>
      <c r="G64" s="14"/>
      <c r="H64" s="14"/>
      <c r="I64" s="30" t="s">
        <v>123</v>
      </c>
      <c r="J64" s="30" t="s">
        <v>209</v>
      </c>
    </row>
    <row r="65" customFormat="false" ht="35.05" hidden="false" customHeight="false" outlineLevel="0" collapsed="false">
      <c r="A65" s="22" t="n">
        <v>46280</v>
      </c>
      <c r="B65" s="14" t="s">
        <v>65</v>
      </c>
      <c r="C65" s="14" t="s">
        <v>227</v>
      </c>
      <c r="D65" s="14" t="s">
        <v>122</v>
      </c>
      <c r="E65" s="14"/>
      <c r="F65" s="14"/>
      <c r="G65" s="14"/>
      <c r="H65" s="14"/>
      <c r="I65" s="30" t="s">
        <v>123</v>
      </c>
      <c r="J65" s="30" t="s">
        <v>203</v>
      </c>
    </row>
    <row r="66" customFormat="false" ht="35.05" hidden="false" customHeight="false" outlineLevel="0" collapsed="false">
      <c r="A66" s="22" t="n">
        <v>46280</v>
      </c>
      <c r="B66" s="14" t="s">
        <v>65</v>
      </c>
      <c r="C66" s="14" t="s">
        <v>228</v>
      </c>
      <c r="D66" s="14" t="s">
        <v>122</v>
      </c>
      <c r="E66" s="14"/>
      <c r="F66" s="14"/>
      <c r="G66" s="14"/>
      <c r="H66" s="14"/>
      <c r="I66" s="30" t="s">
        <v>123</v>
      </c>
      <c r="J66" s="30" t="s">
        <v>172</v>
      </c>
    </row>
    <row r="67" customFormat="false" ht="35.05" hidden="false" customHeight="false" outlineLevel="0" collapsed="false">
      <c r="A67" s="22" t="n">
        <v>46280</v>
      </c>
      <c r="B67" s="14" t="s">
        <v>65</v>
      </c>
      <c r="C67" s="14" t="s">
        <v>229</v>
      </c>
      <c r="D67" s="14" t="s">
        <v>122</v>
      </c>
      <c r="E67" s="14"/>
      <c r="F67" s="14"/>
      <c r="G67" s="14"/>
      <c r="H67" s="14"/>
      <c r="I67" s="30" t="s">
        <v>123</v>
      </c>
      <c r="J67" s="30" t="s">
        <v>218</v>
      </c>
    </row>
    <row r="68" customFormat="false" ht="35.05" hidden="false" customHeight="false" outlineLevel="0" collapsed="false">
      <c r="A68" s="22" t="n">
        <v>46280</v>
      </c>
      <c r="B68" s="14" t="s">
        <v>65</v>
      </c>
      <c r="C68" s="14" t="s">
        <v>230</v>
      </c>
      <c r="D68" s="14" t="s">
        <v>122</v>
      </c>
      <c r="E68" s="14"/>
      <c r="F68" s="14"/>
      <c r="G68" s="14"/>
      <c r="H68" s="14"/>
      <c r="I68" s="30" t="s">
        <v>123</v>
      </c>
      <c r="J68" s="30" t="s">
        <v>170</v>
      </c>
    </row>
    <row r="69" customFormat="false" ht="35.05" hidden="false" customHeight="false" outlineLevel="0" collapsed="false">
      <c r="A69" s="22" t="n">
        <v>46280</v>
      </c>
      <c r="B69" s="14" t="s">
        <v>65</v>
      </c>
      <c r="C69" s="14" t="s">
        <v>231</v>
      </c>
      <c r="D69" s="14" t="s">
        <v>122</v>
      </c>
      <c r="E69" s="14"/>
      <c r="F69" s="14"/>
      <c r="G69" s="14"/>
      <c r="H69" s="14"/>
      <c r="I69" s="30" t="s">
        <v>123</v>
      </c>
      <c r="J69" s="30" t="s">
        <v>155</v>
      </c>
    </row>
    <row r="70" customFormat="false" ht="35.05" hidden="false" customHeight="false" outlineLevel="0" collapsed="false">
      <c r="A70" s="22" t="n">
        <v>46280</v>
      </c>
      <c r="B70" s="14" t="s">
        <v>65</v>
      </c>
      <c r="C70" s="14" t="s">
        <v>232</v>
      </c>
      <c r="D70" s="14" t="s">
        <v>122</v>
      </c>
      <c r="E70" s="14"/>
      <c r="F70" s="14"/>
      <c r="G70" s="14"/>
      <c r="H70" s="14"/>
      <c r="I70" s="30" t="s">
        <v>123</v>
      </c>
      <c r="J70" s="30" t="s">
        <v>207</v>
      </c>
    </row>
    <row r="71" customFormat="false" ht="35.05" hidden="false" customHeight="false" outlineLevel="0" collapsed="false">
      <c r="A71" s="22" t="n">
        <v>46280</v>
      </c>
      <c r="B71" s="14" t="s">
        <v>65</v>
      </c>
      <c r="C71" s="14" t="s">
        <v>233</v>
      </c>
      <c r="D71" s="14" t="s">
        <v>122</v>
      </c>
      <c r="E71" s="14"/>
      <c r="F71" s="14"/>
      <c r="G71" s="14"/>
      <c r="H71" s="14"/>
      <c r="I71" s="30" t="s">
        <v>123</v>
      </c>
      <c r="J71" s="30" t="s">
        <v>168</v>
      </c>
    </row>
    <row r="72" customFormat="false" ht="35.05" hidden="false" customHeight="false" outlineLevel="0" collapsed="false">
      <c r="A72" s="22" t="n">
        <v>46280</v>
      </c>
      <c r="B72" s="14" t="s">
        <v>65</v>
      </c>
      <c r="C72" s="14" t="s">
        <v>234</v>
      </c>
      <c r="D72" s="14" t="s">
        <v>122</v>
      </c>
      <c r="E72" s="14"/>
      <c r="F72" s="14"/>
      <c r="G72" s="14"/>
      <c r="H72" s="14"/>
      <c r="I72" s="30" t="s">
        <v>123</v>
      </c>
      <c r="J72" s="30" t="s">
        <v>207</v>
      </c>
    </row>
    <row r="73" customFormat="false" ht="35.05" hidden="false" customHeight="false" outlineLevel="0" collapsed="false">
      <c r="A73" s="22" t="n">
        <v>46280</v>
      </c>
      <c r="B73" s="14" t="s">
        <v>65</v>
      </c>
      <c r="C73" s="14" t="s">
        <v>235</v>
      </c>
      <c r="D73" s="14" t="s">
        <v>122</v>
      </c>
      <c r="E73" s="14"/>
      <c r="F73" s="14"/>
      <c r="G73" s="14"/>
      <c r="H73" s="14"/>
      <c r="I73" s="30" t="s">
        <v>123</v>
      </c>
      <c r="J73" s="30" t="s">
        <v>157</v>
      </c>
    </row>
    <row r="74" customFormat="false" ht="35.05" hidden="false" customHeight="false" outlineLevel="0" collapsed="false">
      <c r="A74" s="22" t="n">
        <v>46280</v>
      </c>
      <c r="B74" s="14" t="s">
        <v>65</v>
      </c>
      <c r="C74" s="14" t="s">
        <v>236</v>
      </c>
      <c r="D74" s="14" t="s">
        <v>122</v>
      </c>
      <c r="E74" s="14"/>
      <c r="F74" s="14"/>
      <c r="G74" s="14"/>
      <c r="H74" s="14"/>
      <c r="I74" s="30" t="s">
        <v>123</v>
      </c>
      <c r="J74" s="30" t="s">
        <v>237</v>
      </c>
    </row>
    <row r="75" customFormat="false" ht="35.05" hidden="false" customHeight="false" outlineLevel="0" collapsed="false">
      <c r="A75" s="22" t="n">
        <v>46280</v>
      </c>
      <c r="B75" s="14" t="s">
        <v>65</v>
      </c>
      <c r="C75" s="14" t="s">
        <v>238</v>
      </c>
      <c r="D75" s="14" t="s">
        <v>122</v>
      </c>
      <c r="E75" s="14"/>
      <c r="F75" s="14"/>
      <c r="G75" s="14"/>
      <c r="H75" s="14"/>
      <c r="I75" s="30" t="s">
        <v>123</v>
      </c>
      <c r="J75" s="30" t="s">
        <v>239</v>
      </c>
    </row>
    <row r="76" customFormat="false" ht="35.05" hidden="false" customHeight="false" outlineLevel="0" collapsed="false">
      <c r="A76" s="22" t="n">
        <v>46280</v>
      </c>
      <c r="B76" s="14" t="s">
        <v>65</v>
      </c>
      <c r="C76" s="14" t="s">
        <v>240</v>
      </c>
      <c r="D76" s="14" t="s">
        <v>122</v>
      </c>
      <c r="E76" s="14"/>
      <c r="F76" s="14"/>
      <c r="G76" s="14"/>
      <c r="H76" s="14"/>
      <c r="I76" s="30" t="s">
        <v>123</v>
      </c>
      <c r="J76" s="30" t="s">
        <v>241</v>
      </c>
    </row>
    <row r="77" customFormat="false" ht="35.05" hidden="false" customHeight="false" outlineLevel="0" collapsed="false">
      <c r="A77" s="22" t="n">
        <v>46280</v>
      </c>
      <c r="B77" s="14" t="s">
        <v>65</v>
      </c>
      <c r="C77" s="14" t="s">
        <v>242</v>
      </c>
      <c r="D77" s="14" t="s">
        <v>122</v>
      </c>
      <c r="E77" s="14"/>
      <c r="F77" s="14"/>
      <c r="G77" s="14"/>
      <c r="H77" s="14"/>
      <c r="I77" s="30" t="s">
        <v>123</v>
      </c>
      <c r="J77" s="30" t="s">
        <v>243</v>
      </c>
    </row>
    <row r="78" customFormat="false" ht="35.05" hidden="false" customHeight="false" outlineLevel="0" collapsed="false">
      <c r="A78" s="22" t="n">
        <v>46280</v>
      </c>
      <c r="B78" s="14" t="s">
        <v>65</v>
      </c>
      <c r="C78" s="14" t="s">
        <v>244</v>
      </c>
      <c r="D78" s="14" t="s">
        <v>122</v>
      </c>
      <c r="E78" s="14"/>
      <c r="F78" s="14"/>
      <c r="G78" s="14"/>
      <c r="H78" s="14"/>
      <c r="I78" s="30" t="s">
        <v>123</v>
      </c>
      <c r="J78" s="30" t="s">
        <v>207</v>
      </c>
    </row>
    <row r="79" customFormat="false" ht="35.05" hidden="false" customHeight="false" outlineLevel="0" collapsed="false">
      <c r="A79" s="22" t="n">
        <v>46280</v>
      </c>
      <c r="B79" s="14" t="s">
        <v>65</v>
      </c>
      <c r="C79" s="14" t="s">
        <v>245</v>
      </c>
      <c r="D79" s="14" t="s">
        <v>122</v>
      </c>
      <c r="E79" s="14"/>
      <c r="F79" s="14"/>
      <c r="G79" s="14"/>
      <c r="H79" s="14"/>
      <c r="I79" s="30" t="s">
        <v>123</v>
      </c>
      <c r="J79" s="30" t="s">
        <v>246</v>
      </c>
    </row>
    <row r="80" customFormat="false" ht="35.05" hidden="false" customHeight="false" outlineLevel="0" collapsed="false">
      <c r="A80" s="22" t="n">
        <v>46280</v>
      </c>
      <c r="B80" s="14" t="s">
        <v>65</v>
      </c>
      <c r="C80" s="14" t="s">
        <v>247</v>
      </c>
      <c r="D80" s="14" t="s">
        <v>122</v>
      </c>
      <c r="E80" s="14"/>
      <c r="F80" s="14"/>
      <c r="G80" s="14"/>
      <c r="H80" s="14"/>
      <c r="I80" s="30" t="s">
        <v>123</v>
      </c>
      <c r="J80" s="30" t="s">
        <v>248</v>
      </c>
    </row>
    <row r="81" customFormat="false" ht="35.05" hidden="false" customHeight="false" outlineLevel="0" collapsed="false">
      <c r="A81" s="22" t="n">
        <v>46280</v>
      </c>
      <c r="B81" s="14" t="s">
        <v>65</v>
      </c>
      <c r="C81" s="14" t="s">
        <v>249</v>
      </c>
      <c r="D81" s="14" t="s">
        <v>122</v>
      </c>
      <c r="E81" s="14"/>
      <c r="F81" s="14"/>
      <c r="G81" s="14"/>
      <c r="H81" s="14"/>
      <c r="I81" s="30" t="s">
        <v>123</v>
      </c>
      <c r="J81" s="30" t="s">
        <v>250</v>
      </c>
    </row>
    <row r="82" customFormat="false" ht="35.05" hidden="false" customHeight="false" outlineLevel="0" collapsed="false">
      <c r="A82" s="22" t="n">
        <v>46280</v>
      </c>
      <c r="B82" s="14" t="s">
        <v>65</v>
      </c>
      <c r="C82" s="14" t="s">
        <v>251</v>
      </c>
      <c r="D82" s="14" t="s">
        <v>122</v>
      </c>
      <c r="E82" s="14"/>
      <c r="F82" s="14"/>
      <c r="G82" s="14"/>
      <c r="H82" s="14"/>
      <c r="I82" s="30" t="s">
        <v>123</v>
      </c>
      <c r="J82" s="30" t="s">
        <v>248</v>
      </c>
    </row>
    <row r="83" customFormat="false" ht="35.05" hidden="false" customHeight="false" outlineLevel="0" collapsed="false">
      <c r="A83" s="22" t="n">
        <v>46280</v>
      </c>
      <c r="B83" s="14" t="s">
        <v>65</v>
      </c>
      <c r="C83" s="14" t="s">
        <v>252</v>
      </c>
      <c r="D83" s="14" t="s">
        <v>122</v>
      </c>
      <c r="E83" s="14"/>
      <c r="F83" s="14"/>
      <c r="G83" s="14"/>
      <c r="H83" s="14"/>
      <c r="I83" s="30" t="s">
        <v>123</v>
      </c>
      <c r="J83" s="30" t="s">
        <v>172</v>
      </c>
    </row>
    <row r="84" customFormat="false" ht="35.05" hidden="false" customHeight="false" outlineLevel="0" collapsed="false">
      <c r="A84" s="22" t="n">
        <v>46280</v>
      </c>
      <c r="B84" s="14" t="s">
        <v>65</v>
      </c>
      <c r="C84" s="14" t="s">
        <v>253</v>
      </c>
      <c r="D84" s="14" t="s">
        <v>122</v>
      </c>
      <c r="E84" s="14"/>
      <c r="F84" s="14"/>
      <c r="G84" s="14"/>
      <c r="H84" s="14"/>
      <c r="I84" s="30" t="s">
        <v>123</v>
      </c>
      <c r="J84" s="30" t="s">
        <v>181</v>
      </c>
    </row>
    <row r="85" customFormat="false" ht="35.05" hidden="false" customHeight="false" outlineLevel="0" collapsed="false">
      <c r="A85" s="22" t="n">
        <v>46280</v>
      </c>
      <c r="B85" s="14" t="s">
        <v>65</v>
      </c>
      <c r="C85" s="14" t="s">
        <v>254</v>
      </c>
      <c r="D85" s="14" t="s">
        <v>122</v>
      </c>
      <c r="E85" s="14"/>
      <c r="F85" s="14"/>
      <c r="G85" s="14"/>
      <c r="H85" s="14"/>
      <c r="I85" s="30" t="s">
        <v>123</v>
      </c>
      <c r="J85" s="30" t="s">
        <v>181</v>
      </c>
    </row>
    <row r="86" customFormat="false" ht="35.05" hidden="false" customHeight="false" outlineLevel="0" collapsed="false">
      <c r="A86" s="22" t="n">
        <v>46280</v>
      </c>
      <c r="B86" s="14" t="s">
        <v>65</v>
      </c>
      <c r="C86" s="14" t="s">
        <v>255</v>
      </c>
      <c r="D86" s="14" t="s">
        <v>122</v>
      </c>
      <c r="E86" s="14"/>
      <c r="F86" s="14"/>
      <c r="G86" s="14"/>
      <c r="H86" s="14"/>
      <c r="I86" s="30" t="s">
        <v>123</v>
      </c>
      <c r="J86" s="30" t="s">
        <v>239</v>
      </c>
    </row>
    <row r="87" customFormat="false" ht="35.05" hidden="false" customHeight="false" outlineLevel="0" collapsed="false">
      <c r="A87" s="22" t="n">
        <v>46280</v>
      </c>
      <c r="B87" s="14" t="s">
        <v>65</v>
      </c>
      <c r="C87" s="14" t="s">
        <v>256</v>
      </c>
      <c r="D87" s="14" t="s">
        <v>122</v>
      </c>
      <c r="E87" s="14"/>
      <c r="F87" s="14"/>
      <c r="G87" s="14"/>
      <c r="H87" s="14"/>
      <c r="I87" s="30" t="s">
        <v>123</v>
      </c>
      <c r="J87" s="30" t="s">
        <v>257</v>
      </c>
    </row>
    <row r="88" customFormat="false" ht="35.05" hidden="false" customHeight="false" outlineLevel="0" collapsed="false">
      <c r="A88" s="22" t="n">
        <v>46280</v>
      </c>
      <c r="B88" s="14" t="s">
        <v>65</v>
      </c>
      <c r="C88" s="14" t="s">
        <v>258</v>
      </c>
      <c r="D88" s="14" t="s">
        <v>122</v>
      </c>
      <c r="E88" s="14"/>
      <c r="F88" s="14"/>
      <c r="G88" s="14"/>
      <c r="H88" s="14"/>
      <c r="I88" s="30" t="s">
        <v>123</v>
      </c>
      <c r="J88" s="30" t="s">
        <v>225</v>
      </c>
    </row>
    <row r="89" customFormat="false" ht="35.05" hidden="false" customHeight="false" outlineLevel="0" collapsed="false">
      <c r="A89" s="22" t="n">
        <v>46280</v>
      </c>
      <c r="B89" s="14" t="s">
        <v>65</v>
      </c>
      <c r="C89" s="14" t="s">
        <v>259</v>
      </c>
      <c r="D89" s="14" t="s">
        <v>122</v>
      </c>
      <c r="E89" s="14"/>
      <c r="F89" s="14"/>
      <c r="G89" s="14"/>
      <c r="H89" s="14"/>
      <c r="I89" s="30" t="s">
        <v>123</v>
      </c>
      <c r="J89" s="30" t="s">
        <v>155</v>
      </c>
    </row>
    <row r="90" customFormat="false" ht="35.05" hidden="false" customHeight="false" outlineLevel="0" collapsed="false">
      <c r="A90" s="22" t="n">
        <v>46280</v>
      </c>
      <c r="B90" s="14" t="s">
        <v>65</v>
      </c>
      <c r="C90" s="14" t="s">
        <v>260</v>
      </c>
      <c r="D90" s="14" t="s">
        <v>122</v>
      </c>
      <c r="E90" s="14"/>
      <c r="F90" s="14"/>
      <c r="G90" s="14"/>
      <c r="H90" s="14"/>
      <c r="I90" s="30" t="s">
        <v>123</v>
      </c>
      <c r="J90" s="30" t="s">
        <v>216</v>
      </c>
    </row>
    <row r="91" customFormat="false" ht="35.05" hidden="false" customHeight="false" outlineLevel="0" collapsed="false">
      <c r="A91" s="22" t="n">
        <v>46280</v>
      </c>
      <c r="B91" s="14" t="s">
        <v>65</v>
      </c>
      <c r="C91" s="14" t="s">
        <v>261</v>
      </c>
      <c r="D91" s="14" t="s">
        <v>122</v>
      </c>
      <c r="E91" s="14"/>
      <c r="F91" s="14"/>
      <c r="G91" s="14"/>
      <c r="H91" s="14"/>
      <c r="I91" s="30" t="s">
        <v>123</v>
      </c>
      <c r="J91" s="30" t="s">
        <v>262</v>
      </c>
    </row>
    <row r="92" customFormat="false" ht="35.05" hidden="false" customHeight="false" outlineLevel="0" collapsed="false">
      <c r="A92" s="22" t="n">
        <v>46280</v>
      </c>
      <c r="B92" s="14" t="s">
        <v>65</v>
      </c>
      <c r="C92" s="14" t="s">
        <v>263</v>
      </c>
      <c r="D92" s="14" t="s">
        <v>122</v>
      </c>
      <c r="E92" s="14"/>
      <c r="F92" s="14"/>
      <c r="G92" s="14"/>
      <c r="H92" s="14"/>
      <c r="I92" s="30" t="s">
        <v>123</v>
      </c>
      <c r="J92" s="30" t="s">
        <v>172</v>
      </c>
    </row>
    <row r="93" customFormat="false" ht="35.05" hidden="false" customHeight="false" outlineLevel="0" collapsed="false">
      <c r="A93" s="22" t="n">
        <v>46280</v>
      </c>
      <c r="B93" s="14" t="s">
        <v>65</v>
      </c>
      <c r="C93" s="14" t="s">
        <v>264</v>
      </c>
      <c r="D93" s="14" t="s">
        <v>122</v>
      </c>
      <c r="E93" s="14"/>
      <c r="F93" s="14"/>
      <c r="G93" s="14"/>
      <c r="H93" s="14"/>
      <c r="I93" s="30" t="s">
        <v>123</v>
      </c>
      <c r="J93" s="30" t="s">
        <v>216</v>
      </c>
    </row>
    <row r="94" customFormat="false" ht="35.05" hidden="false" customHeight="false" outlineLevel="0" collapsed="false">
      <c r="A94" s="22" t="n">
        <v>46280</v>
      </c>
      <c r="B94" s="14" t="s">
        <v>65</v>
      </c>
      <c r="C94" s="14" t="s">
        <v>265</v>
      </c>
      <c r="D94" s="14" t="s">
        <v>122</v>
      </c>
      <c r="E94" s="14"/>
      <c r="F94" s="14"/>
      <c r="G94" s="14"/>
      <c r="H94" s="14"/>
      <c r="I94" s="30" t="s">
        <v>123</v>
      </c>
      <c r="J94" s="30" t="s">
        <v>239</v>
      </c>
    </row>
    <row r="95" customFormat="false" ht="35.05" hidden="false" customHeight="false" outlineLevel="0" collapsed="false">
      <c r="A95" s="22" t="n">
        <v>46280</v>
      </c>
      <c r="B95" s="14" t="s">
        <v>65</v>
      </c>
      <c r="C95" s="14" t="s">
        <v>266</v>
      </c>
      <c r="D95" s="14" t="s">
        <v>122</v>
      </c>
      <c r="E95" s="14"/>
      <c r="F95" s="14"/>
      <c r="G95" s="14"/>
      <c r="H95" s="14"/>
      <c r="I95" s="30" t="s">
        <v>123</v>
      </c>
      <c r="J95" s="30" t="s">
        <v>179</v>
      </c>
    </row>
    <row r="96" customFormat="false" ht="35.05" hidden="false" customHeight="false" outlineLevel="0" collapsed="false">
      <c r="A96" s="22" t="n">
        <v>46280</v>
      </c>
      <c r="B96" s="14" t="s">
        <v>65</v>
      </c>
      <c r="C96" s="14" t="s">
        <v>267</v>
      </c>
      <c r="D96" s="14" t="s">
        <v>122</v>
      </c>
      <c r="E96" s="14"/>
      <c r="F96" s="14"/>
      <c r="G96" s="14"/>
      <c r="H96" s="14"/>
      <c r="I96" s="30" t="s">
        <v>123</v>
      </c>
      <c r="J96" s="30" t="s">
        <v>246</v>
      </c>
    </row>
    <row r="97" customFormat="false" ht="35.05" hidden="false" customHeight="false" outlineLevel="0" collapsed="false">
      <c r="A97" s="22" t="n">
        <v>46280</v>
      </c>
      <c r="B97" s="14" t="s">
        <v>65</v>
      </c>
      <c r="C97" s="14" t="s">
        <v>268</v>
      </c>
      <c r="D97" s="14" t="s">
        <v>122</v>
      </c>
      <c r="E97" s="14"/>
      <c r="F97" s="14"/>
      <c r="G97" s="14"/>
      <c r="H97" s="14"/>
      <c r="I97" s="30" t="s">
        <v>123</v>
      </c>
      <c r="J97" s="30" t="s">
        <v>172</v>
      </c>
    </row>
    <row r="98" customFormat="false" ht="35.05" hidden="false" customHeight="false" outlineLevel="0" collapsed="false">
      <c r="A98" s="22" t="n">
        <v>46280</v>
      </c>
      <c r="B98" s="14" t="s">
        <v>65</v>
      </c>
      <c r="C98" s="14" t="s">
        <v>269</v>
      </c>
      <c r="D98" s="14" t="s">
        <v>122</v>
      </c>
      <c r="E98" s="14"/>
      <c r="F98" s="14"/>
      <c r="G98" s="14"/>
      <c r="H98" s="14"/>
      <c r="I98" s="30" t="s">
        <v>123</v>
      </c>
      <c r="J98" s="30" t="s">
        <v>270</v>
      </c>
    </row>
    <row r="99" customFormat="false" ht="35.05" hidden="false" customHeight="false" outlineLevel="0" collapsed="false">
      <c r="A99" s="22" t="n">
        <v>46280</v>
      </c>
      <c r="B99" s="14" t="s">
        <v>65</v>
      </c>
      <c r="C99" s="14" t="s">
        <v>271</v>
      </c>
      <c r="D99" s="14" t="s">
        <v>122</v>
      </c>
      <c r="E99" s="14"/>
      <c r="F99" s="14"/>
      <c r="G99" s="14"/>
      <c r="H99" s="14"/>
      <c r="I99" s="30" t="s">
        <v>123</v>
      </c>
      <c r="J99" s="30" t="s">
        <v>248</v>
      </c>
    </row>
    <row r="100" customFormat="false" ht="15" hidden="false" customHeight="false" outlineLevel="0" collapsed="false">
      <c r="A100" s="22" t="n">
        <v>46280</v>
      </c>
      <c r="B100" s="14" t="s">
        <v>73</v>
      </c>
      <c r="C100" s="14" t="s">
        <v>272</v>
      </c>
      <c r="D100" s="14" t="s">
        <v>122</v>
      </c>
      <c r="E100" s="14" t="n">
        <v>0</v>
      </c>
      <c r="F100" s="14" t="n">
        <v>0</v>
      </c>
      <c r="G100" s="14" t="n">
        <v>0</v>
      </c>
      <c r="H100" s="14" t="n">
        <v>0</v>
      </c>
      <c r="I100" s="30" t="s">
        <v>273</v>
      </c>
      <c r="J100" s="30" t="s">
        <v>274</v>
      </c>
    </row>
    <row r="101" customFormat="false" ht="15" hidden="false" customHeight="false" outlineLevel="0" collapsed="false">
      <c r="A101" s="22" t="n">
        <v>46280</v>
      </c>
      <c r="B101" s="14" t="s">
        <v>73</v>
      </c>
      <c r="C101" s="14" t="s">
        <v>275</v>
      </c>
      <c r="D101" s="14" t="s">
        <v>122</v>
      </c>
      <c r="E101" s="14" t="n">
        <v>0</v>
      </c>
      <c r="F101" s="14" t="n">
        <v>0</v>
      </c>
      <c r="G101" s="14" t="n">
        <v>0</v>
      </c>
      <c r="H101" s="14" t="n">
        <v>0</v>
      </c>
      <c r="I101" s="30" t="s">
        <v>273</v>
      </c>
      <c r="J101" s="30" t="s">
        <v>274</v>
      </c>
    </row>
    <row r="102" customFormat="false" ht="15" hidden="false" customHeight="false" outlineLevel="0" collapsed="false">
      <c r="A102" s="22" t="n">
        <v>46280</v>
      </c>
      <c r="B102" s="14" t="s">
        <v>73</v>
      </c>
      <c r="C102" s="14" t="s">
        <v>276</v>
      </c>
      <c r="D102" s="14" t="s">
        <v>277</v>
      </c>
      <c r="E102" s="14" t="n">
        <v>3</v>
      </c>
      <c r="F102" s="14" t="n">
        <v>616</v>
      </c>
      <c r="G102" s="14" t="n">
        <v>431</v>
      </c>
      <c r="H102" s="14" t="n">
        <v>0</v>
      </c>
      <c r="I102" s="30" t="s">
        <v>273</v>
      </c>
      <c r="J102" s="30" t="s">
        <v>274</v>
      </c>
    </row>
    <row r="103" customFormat="false" ht="23.85" hidden="false" customHeight="false" outlineLevel="0" collapsed="false">
      <c r="A103" s="22" t="n">
        <v>46280</v>
      </c>
      <c r="B103" s="14" t="s">
        <v>85</v>
      </c>
      <c r="C103" s="14" t="s">
        <v>278</v>
      </c>
      <c r="D103" s="14" t="s">
        <v>277</v>
      </c>
      <c r="E103" s="14" t="n">
        <v>23</v>
      </c>
      <c r="F103" s="14" t="n">
        <v>0</v>
      </c>
      <c r="G103" s="14" t="n">
        <v>18</v>
      </c>
      <c r="H103" s="14" t="n">
        <v>15</v>
      </c>
      <c r="I103" s="30" t="s">
        <v>273</v>
      </c>
      <c r="J103" s="30" t="s">
        <v>279</v>
      </c>
    </row>
    <row r="104" customFormat="false" ht="23.85" hidden="false" customHeight="false" outlineLevel="0" collapsed="false">
      <c r="A104" s="22" t="n">
        <v>46280</v>
      </c>
      <c r="B104" s="14" t="s">
        <v>85</v>
      </c>
      <c r="C104" s="14" t="s">
        <v>280</v>
      </c>
      <c r="D104" s="14" t="s">
        <v>277</v>
      </c>
      <c r="E104" s="14" t="n">
        <v>16</v>
      </c>
      <c r="F104" s="14" t="n">
        <v>0</v>
      </c>
      <c r="G104" s="14" t="n">
        <v>14</v>
      </c>
      <c r="H104" s="14" t="n">
        <v>14</v>
      </c>
      <c r="I104" s="30" t="s">
        <v>273</v>
      </c>
      <c r="J104" s="30" t="s">
        <v>281</v>
      </c>
    </row>
    <row r="105" customFormat="false" ht="23.85" hidden="false" customHeight="false" outlineLevel="0" collapsed="false">
      <c r="A105" s="22" t="n">
        <v>46280</v>
      </c>
      <c r="B105" s="14" t="s">
        <v>85</v>
      </c>
      <c r="C105" s="14" t="s">
        <v>282</v>
      </c>
      <c r="D105" s="14" t="s">
        <v>277</v>
      </c>
      <c r="E105" s="14" t="n">
        <v>67</v>
      </c>
      <c r="F105" s="14" t="n">
        <v>0</v>
      </c>
      <c r="G105" s="14" t="n">
        <v>63</v>
      </c>
      <c r="H105" s="14" t="n">
        <v>55</v>
      </c>
      <c r="I105" s="30" t="s">
        <v>273</v>
      </c>
      <c r="J105" s="30" t="s">
        <v>283</v>
      </c>
    </row>
    <row r="106" customFormat="false" ht="23.85" hidden="false" customHeight="false" outlineLevel="0" collapsed="false">
      <c r="A106" s="22" t="n">
        <v>46280</v>
      </c>
      <c r="B106" s="14" t="s">
        <v>85</v>
      </c>
      <c r="C106" s="14" t="s">
        <v>284</v>
      </c>
      <c r="D106" s="14" t="s">
        <v>277</v>
      </c>
      <c r="E106" s="14" t="n">
        <v>13</v>
      </c>
      <c r="F106" s="14" t="n">
        <v>0</v>
      </c>
      <c r="G106" s="14" t="n">
        <v>12</v>
      </c>
      <c r="H106" s="14" t="n">
        <v>10</v>
      </c>
      <c r="I106" s="30" t="s">
        <v>273</v>
      </c>
      <c r="J106" s="30" t="s">
        <v>285</v>
      </c>
    </row>
    <row r="107" customFormat="false" ht="23.85" hidden="false" customHeight="false" outlineLevel="0" collapsed="false">
      <c r="A107" s="22" t="n">
        <v>46280</v>
      </c>
      <c r="B107" s="14" t="s">
        <v>85</v>
      </c>
      <c r="C107" s="14" t="s">
        <v>286</v>
      </c>
      <c r="D107" s="14" t="s">
        <v>277</v>
      </c>
      <c r="E107" s="14" t="n">
        <v>64</v>
      </c>
      <c r="F107" s="14" t="n">
        <v>0</v>
      </c>
      <c r="G107" s="14" t="n">
        <v>60</v>
      </c>
      <c r="H107" s="14" t="n">
        <v>43</v>
      </c>
      <c r="I107" s="30" t="s">
        <v>273</v>
      </c>
      <c r="J107" s="30" t="s">
        <v>287</v>
      </c>
    </row>
    <row r="108" customFormat="false" ht="23.85" hidden="false" customHeight="false" outlineLevel="0" collapsed="false">
      <c r="A108" s="22" t="n">
        <v>46280</v>
      </c>
      <c r="B108" s="14" t="s">
        <v>85</v>
      </c>
      <c r="C108" s="14" t="s">
        <v>288</v>
      </c>
      <c r="D108" s="14" t="s">
        <v>277</v>
      </c>
      <c r="E108" s="14" t="n">
        <v>664</v>
      </c>
      <c r="F108" s="14" t="n">
        <v>0</v>
      </c>
      <c r="G108" s="14" t="n">
        <v>623</v>
      </c>
      <c r="H108" s="14" t="n">
        <v>533</v>
      </c>
      <c r="I108" s="30" t="s">
        <v>273</v>
      </c>
      <c r="J108" s="30" t="s">
        <v>289</v>
      </c>
    </row>
    <row r="109" customFormat="false" ht="23.85" hidden="false" customHeight="false" outlineLevel="0" collapsed="false">
      <c r="A109" s="22" t="n">
        <v>46280</v>
      </c>
      <c r="B109" s="14" t="s">
        <v>85</v>
      </c>
      <c r="C109" s="14" t="s">
        <v>290</v>
      </c>
      <c r="D109" s="14" t="s">
        <v>277</v>
      </c>
      <c r="E109" s="14" t="n">
        <v>112</v>
      </c>
      <c r="F109" s="14" t="n">
        <v>0</v>
      </c>
      <c r="G109" s="14" t="n">
        <v>89</v>
      </c>
      <c r="H109" s="14" t="n">
        <v>71</v>
      </c>
      <c r="I109" s="30" t="s">
        <v>273</v>
      </c>
      <c r="J109" s="30" t="s">
        <v>291</v>
      </c>
    </row>
    <row r="110" customFormat="false" ht="23.85" hidden="false" customHeight="false" outlineLevel="0" collapsed="false">
      <c r="A110" s="22" t="n">
        <v>46280</v>
      </c>
      <c r="B110" s="14" t="s">
        <v>85</v>
      </c>
      <c r="C110" s="14" t="s">
        <v>292</v>
      </c>
      <c r="D110" s="14" t="s">
        <v>277</v>
      </c>
      <c r="E110" s="14" t="n">
        <v>15</v>
      </c>
      <c r="F110" s="14" t="n">
        <v>0</v>
      </c>
      <c r="G110" s="14" t="n">
        <v>14</v>
      </c>
      <c r="H110" s="14" t="n">
        <v>14</v>
      </c>
      <c r="I110" s="30" t="s">
        <v>273</v>
      </c>
      <c r="J110" s="30" t="s">
        <v>293</v>
      </c>
    </row>
    <row r="111" customFormat="false" ht="23.85" hidden="false" customHeight="false" outlineLevel="0" collapsed="false">
      <c r="A111" s="22" t="n">
        <v>46280</v>
      </c>
      <c r="B111" s="14" t="s">
        <v>85</v>
      </c>
      <c r="C111" s="14" t="s">
        <v>294</v>
      </c>
      <c r="D111" s="14" t="s">
        <v>277</v>
      </c>
      <c r="E111" s="14" t="n">
        <v>28</v>
      </c>
      <c r="F111" s="14" t="n">
        <v>0</v>
      </c>
      <c r="G111" s="14" t="n">
        <v>24</v>
      </c>
      <c r="H111" s="14" t="n">
        <v>22</v>
      </c>
      <c r="I111" s="30" t="s">
        <v>273</v>
      </c>
      <c r="J111" s="30" t="s">
        <v>295</v>
      </c>
    </row>
    <row r="112" customFormat="false" ht="23.85" hidden="false" customHeight="false" outlineLevel="0" collapsed="false">
      <c r="A112" s="22" t="n">
        <v>46280</v>
      </c>
      <c r="B112" s="14" t="s">
        <v>85</v>
      </c>
      <c r="C112" s="14" t="s">
        <v>296</v>
      </c>
      <c r="D112" s="14" t="s">
        <v>277</v>
      </c>
      <c r="E112" s="14" t="n">
        <v>2</v>
      </c>
      <c r="F112" s="14" t="n">
        <v>0</v>
      </c>
      <c r="G112" s="14" t="n">
        <v>1</v>
      </c>
      <c r="H112" s="14" t="n">
        <v>1</v>
      </c>
      <c r="I112" s="30" t="s">
        <v>273</v>
      </c>
      <c r="J112" s="30" t="s">
        <v>297</v>
      </c>
    </row>
    <row r="113" customFormat="false" ht="23.85" hidden="false" customHeight="false" outlineLevel="0" collapsed="false">
      <c r="A113" s="22" t="n">
        <v>46280</v>
      </c>
      <c r="B113" s="14" t="s">
        <v>85</v>
      </c>
      <c r="C113" s="14" t="s">
        <v>298</v>
      </c>
      <c r="D113" s="14" t="s">
        <v>277</v>
      </c>
      <c r="E113" s="14" t="n">
        <v>92</v>
      </c>
      <c r="F113" s="14" t="n">
        <v>0</v>
      </c>
      <c r="G113" s="14" t="n">
        <v>84</v>
      </c>
      <c r="H113" s="14" t="n">
        <v>36</v>
      </c>
      <c r="I113" s="30" t="s">
        <v>273</v>
      </c>
      <c r="J113" s="30" t="s">
        <v>299</v>
      </c>
    </row>
    <row r="114" customFormat="false" ht="23.85" hidden="false" customHeight="false" outlineLevel="0" collapsed="false">
      <c r="A114" s="22" t="n">
        <v>46280</v>
      </c>
      <c r="B114" s="14" t="s">
        <v>85</v>
      </c>
      <c r="C114" s="14" t="s">
        <v>300</v>
      </c>
      <c r="D114" s="14" t="s">
        <v>277</v>
      </c>
      <c r="E114" s="14" t="n">
        <v>296</v>
      </c>
      <c r="F114" s="14" t="n">
        <v>0</v>
      </c>
      <c r="G114" s="14" t="n">
        <v>284</v>
      </c>
      <c r="H114" s="14" t="n">
        <v>253</v>
      </c>
      <c r="I114" s="30" t="s">
        <v>273</v>
      </c>
      <c r="J114" s="30" t="s">
        <v>301</v>
      </c>
    </row>
    <row r="115" customFormat="false" ht="23.85" hidden="false" customHeight="false" outlineLevel="0" collapsed="false">
      <c r="A115" s="22" t="n">
        <v>46280</v>
      </c>
      <c r="B115" s="14" t="s">
        <v>85</v>
      </c>
      <c r="C115" s="14" t="s">
        <v>302</v>
      </c>
      <c r="D115" s="14" t="s">
        <v>277</v>
      </c>
      <c r="E115" s="14" t="n">
        <v>13</v>
      </c>
      <c r="F115" s="14" t="n">
        <v>0</v>
      </c>
      <c r="G115" s="14" t="n">
        <v>13</v>
      </c>
      <c r="H115" s="14" t="n">
        <v>11</v>
      </c>
      <c r="I115" s="30" t="s">
        <v>273</v>
      </c>
      <c r="J115" s="30" t="s">
        <v>303</v>
      </c>
    </row>
    <row r="116" customFormat="false" ht="23.85" hidden="false" customHeight="false" outlineLevel="0" collapsed="false">
      <c r="A116" s="22" t="n">
        <v>46280</v>
      </c>
      <c r="B116" s="14" t="s">
        <v>85</v>
      </c>
      <c r="C116" s="14" t="s">
        <v>304</v>
      </c>
      <c r="D116" s="14" t="s">
        <v>277</v>
      </c>
      <c r="E116" s="14" t="n">
        <v>29</v>
      </c>
      <c r="F116" s="14" t="n">
        <v>0</v>
      </c>
      <c r="G116" s="14" t="n">
        <v>28</v>
      </c>
      <c r="H116" s="14" t="n">
        <v>24</v>
      </c>
      <c r="I116" s="30" t="s">
        <v>273</v>
      </c>
      <c r="J116" s="30" t="s">
        <v>305</v>
      </c>
    </row>
    <row r="117" customFormat="false" ht="23.85" hidden="false" customHeight="false" outlineLevel="0" collapsed="false">
      <c r="A117" s="22" t="n">
        <v>46280</v>
      </c>
      <c r="B117" s="14" t="s">
        <v>85</v>
      </c>
      <c r="C117" s="14" t="s">
        <v>306</v>
      </c>
      <c r="D117" s="14" t="s">
        <v>277</v>
      </c>
      <c r="E117" s="14" t="n">
        <v>1</v>
      </c>
      <c r="F117" s="14" t="n">
        <v>0</v>
      </c>
      <c r="G117" s="14" t="n">
        <v>1</v>
      </c>
      <c r="H117" s="14" t="n">
        <v>0</v>
      </c>
      <c r="I117" s="30" t="s">
        <v>273</v>
      </c>
      <c r="J117" s="30" t="s">
        <v>307</v>
      </c>
    </row>
    <row r="118" customFormat="false" ht="23.85" hidden="false" customHeight="false" outlineLevel="0" collapsed="false">
      <c r="A118" s="22" t="n">
        <v>46280</v>
      </c>
      <c r="B118" s="14" t="s">
        <v>85</v>
      </c>
      <c r="C118" s="14" t="s">
        <v>308</v>
      </c>
      <c r="D118" s="14" t="s">
        <v>277</v>
      </c>
      <c r="E118" s="14" t="n">
        <v>1</v>
      </c>
      <c r="F118" s="14" t="n">
        <v>0</v>
      </c>
      <c r="G118" s="14" t="n">
        <v>1</v>
      </c>
      <c r="H118" s="14" t="n">
        <v>1</v>
      </c>
      <c r="I118" s="30" t="s">
        <v>273</v>
      </c>
      <c r="J118" s="30" t="s">
        <v>309</v>
      </c>
    </row>
    <row r="119" customFormat="false" ht="23.85" hidden="false" customHeight="false" outlineLevel="0" collapsed="false">
      <c r="A119" s="22" t="n">
        <v>46280</v>
      </c>
      <c r="B119" s="14" t="s">
        <v>85</v>
      </c>
      <c r="C119" s="14" t="s">
        <v>310</v>
      </c>
      <c r="D119" s="14" t="s">
        <v>277</v>
      </c>
      <c r="E119" s="14" t="n">
        <v>23</v>
      </c>
      <c r="F119" s="14" t="n">
        <v>0</v>
      </c>
      <c r="G119" s="14" t="n">
        <v>21</v>
      </c>
      <c r="H119" s="14" t="n">
        <v>15</v>
      </c>
      <c r="I119" s="30" t="s">
        <v>273</v>
      </c>
      <c r="J119" s="30" t="s">
        <v>311</v>
      </c>
    </row>
    <row r="120" customFormat="false" ht="23.85" hidden="false" customHeight="false" outlineLevel="0" collapsed="false">
      <c r="A120" s="22" t="n">
        <v>46280</v>
      </c>
      <c r="B120" s="14" t="s">
        <v>85</v>
      </c>
      <c r="C120" s="14" t="s">
        <v>312</v>
      </c>
      <c r="D120" s="14" t="s">
        <v>277</v>
      </c>
      <c r="E120" s="14" t="n">
        <v>1</v>
      </c>
      <c r="F120" s="14" t="n">
        <v>0</v>
      </c>
      <c r="G120" s="14" t="n">
        <v>1</v>
      </c>
      <c r="H120" s="14" t="n">
        <v>0</v>
      </c>
      <c r="I120" s="30" t="s">
        <v>273</v>
      </c>
      <c r="J120" s="30" t="s">
        <v>313</v>
      </c>
    </row>
    <row r="121" customFormat="false" ht="23.85" hidden="false" customHeight="false" outlineLevel="0" collapsed="false">
      <c r="A121" s="22" t="n">
        <v>46280</v>
      </c>
      <c r="B121" s="14" t="s">
        <v>85</v>
      </c>
      <c r="C121" s="14" t="s">
        <v>314</v>
      </c>
      <c r="D121" s="14" t="s">
        <v>277</v>
      </c>
      <c r="E121" s="14" t="n">
        <v>64</v>
      </c>
      <c r="F121" s="14" t="n">
        <v>0</v>
      </c>
      <c r="G121" s="14" t="n">
        <v>59</v>
      </c>
      <c r="H121" s="14" t="n">
        <v>50</v>
      </c>
      <c r="I121" s="30" t="s">
        <v>273</v>
      </c>
      <c r="J121" s="30" t="s">
        <v>315</v>
      </c>
    </row>
    <row r="122" customFormat="false" ht="23.85" hidden="false" customHeight="false" outlineLevel="0" collapsed="false">
      <c r="A122" s="22" t="n">
        <v>46280</v>
      </c>
      <c r="B122" s="14" t="s">
        <v>85</v>
      </c>
      <c r="C122" s="14" t="s">
        <v>316</v>
      </c>
      <c r="D122" s="14" t="s">
        <v>277</v>
      </c>
      <c r="E122" s="14" t="n">
        <v>269</v>
      </c>
      <c r="F122" s="14" t="n">
        <v>0</v>
      </c>
      <c r="G122" s="14" t="n">
        <v>245</v>
      </c>
      <c r="H122" s="14" t="n">
        <v>195</v>
      </c>
      <c r="I122" s="30" t="s">
        <v>273</v>
      </c>
      <c r="J122" s="30" t="s">
        <v>317</v>
      </c>
    </row>
    <row r="123" customFormat="false" ht="23.85" hidden="false" customHeight="false" outlineLevel="0" collapsed="false">
      <c r="A123" s="22" t="n">
        <v>46280</v>
      </c>
      <c r="B123" s="14" t="s">
        <v>85</v>
      </c>
      <c r="C123" s="14" t="s">
        <v>318</v>
      </c>
      <c r="D123" s="14" t="s">
        <v>277</v>
      </c>
      <c r="E123" s="14" t="n">
        <v>385</v>
      </c>
      <c r="F123" s="14" t="n">
        <v>0</v>
      </c>
      <c r="G123" s="14" t="n">
        <v>356</v>
      </c>
      <c r="H123" s="14" t="n">
        <v>288</v>
      </c>
      <c r="I123" s="30" t="s">
        <v>273</v>
      </c>
      <c r="J123" s="30" t="s">
        <v>319</v>
      </c>
    </row>
    <row r="124" customFormat="false" ht="23.85" hidden="false" customHeight="false" outlineLevel="0" collapsed="false">
      <c r="A124" s="22" t="n">
        <v>46280</v>
      </c>
      <c r="B124" s="14" t="s">
        <v>85</v>
      </c>
      <c r="C124" s="14" t="s">
        <v>320</v>
      </c>
      <c r="D124" s="14" t="s">
        <v>277</v>
      </c>
      <c r="E124" s="14" t="n">
        <v>26</v>
      </c>
      <c r="F124" s="14" t="n">
        <v>0</v>
      </c>
      <c r="G124" s="14" t="n">
        <v>23</v>
      </c>
      <c r="H124" s="14" t="n">
        <v>19</v>
      </c>
      <c r="I124" s="30" t="s">
        <v>273</v>
      </c>
      <c r="J124" s="30" t="s">
        <v>321</v>
      </c>
    </row>
    <row r="125" customFormat="false" ht="23.85" hidden="false" customHeight="false" outlineLevel="0" collapsed="false">
      <c r="A125" s="22" t="n">
        <v>46280</v>
      </c>
      <c r="B125" s="14" t="s">
        <v>85</v>
      </c>
      <c r="C125" s="14" t="s">
        <v>322</v>
      </c>
      <c r="D125" s="14" t="s">
        <v>277</v>
      </c>
      <c r="E125" s="14" t="n">
        <v>1</v>
      </c>
      <c r="F125" s="14" t="n">
        <v>0</v>
      </c>
      <c r="G125" s="14" t="n">
        <v>1</v>
      </c>
      <c r="H125" s="14" t="n">
        <v>1</v>
      </c>
      <c r="I125" s="30" t="s">
        <v>273</v>
      </c>
      <c r="J125" s="30" t="s">
        <v>323</v>
      </c>
    </row>
    <row r="126" customFormat="false" ht="23.85" hidden="false" customHeight="false" outlineLevel="0" collapsed="false">
      <c r="A126" s="22" t="n">
        <v>46280</v>
      </c>
      <c r="B126" s="14" t="s">
        <v>85</v>
      </c>
      <c r="C126" s="14" t="s">
        <v>324</v>
      </c>
      <c r="D126" s="14" t="s">
        <v>277</v>
      </c>
      <c r="E126" s="14" t="n">
        <v>22</v>
      </c>
      <c r="F126" s="14" t="n">
        <v>0</v>
      </c>
      <c r="G126" s="14" t="n">
        <v>20</v>
      </c>
      <c r="H126" s="14" t="n">
        <v>15</v>
      </c>
      <c r="I126" s="30" t="s">
        <v>273</v>
      </c>
      <c r="J126" s="30" t="s">
        <v>325</v>
      </c>
    </row>
    <row r="127" customFormat="false" ht="23.85" hidden="false" customHeight="false" outlineLevel="0" collapsed="false">
      <c r="A127" s="22" t="n">
        <v>46280</v>
      </c>
      <c r="B127" s="14" t="s">
        <v>85</v>
      </c>
      <c r="C127" s="14" t="s">
        <v>326</v>
      </c>
      <c r="D127" s="14" t="s">
        <v>277</v>
      </c>
      <c r="E127" s="14" t="n">
        <v>8</v>
      </c>
      <c r="F127" s="14" t="n">
        <v>0</v>
      </c>
      <c r="G127" s="14" t="n">
        <v>4</v>
      </c>
      <c r="H127" s="14" t="n">
        <v>4</v>
      </c>
      <c r="I127" s="30" t="s">
        <v>273</v>
      </c>
      <c r="J127" s="30" t="s">
        <v>327</v>
      </c>
    </row>
    <row r="128" customFormat="false" ht="23.85" hidden="false" customHeight="false" outlineLevel="0" collapsed="false">
      <c r="A128" s="22" t="n">
        <v>46280</v>
      </c>
      <c r="B128" s="14" t="s">
        <v>85</v>
      </c>
      <c r="C128" s="14" t="s">
        <v>328</v>
      </c>
      <c r="D128" s="14" t="s">
        <v>277</v>
      </c>
      <c r="E128" s="14" t="n">
        <v>5</v>
      </c>
      <c r="F128" s="14" t="n">
        <v>0</v>
      </c>
      <c r="G128" s="14" t="n">
        <v>3</v>
      </c>
      <c r="H128" s="14" t="n">
        <v>3</v>
      </c>
      <c r="I128" s="30" t="s">
        <v>273</v>
      </c>
      <c r="J128" s="30" t="s">
        <v>329</v>
      </c>
    </row>
    <row r="129" customFormat="false" ht="23.85" hidden="false" customHeight="false" outlineLevel="0" collapsed="false">
      <c r="A129" s="22" t="n">
        <v>46280</v>
      </c>
      <c r="B129" s="14" t="s">
        <v>85</v>
      </c>
      <c r="C129" s="14" t="s">
        <v>272</v>
      </c>
      <c r="D129" s="14" t="s">
        <v>277</v>
      </c>
      <c r="E129" s="14" t="n">
        <v>1</v>
      </c>
      <c r="F129" s="14" t="n">
        <v>0</v>
      </c>
      <c r="G129" s="14" t="n">
        <v>1</v>
      </c>
      <c r="H129" s="14" t="n">
        <v>1</v>
      </c>
      <c r="I129" s="30" t="s">
        <v>273</v>
      </c>
      <c r="J129" s="30" t="s">
        <v>330</v>
      </c>
    </row>
    <row r="130" customFormat="false" ht="23.85" hidden="false" customHeight="false" outlineLevel="0" collapsed="false">
      <c r="A130" s="22" t="n">
        <v>46280</v>
      </c>
      <c r="B130" s="14" t="s">
        <v>85</v>
      </c>
      <c r="C130" s="14" t="s">
        <v>331</v>
      </c>
      <c r="D130" s="14" t="s">
        <v>277</v>
      </c>
      <c r="E130" s="14" t="n">
        <v>118</v>
      </c>
      <c r="F130" s="14" t="n">
        <v>0</v>
      </c>
      <c r="G130" s="14" t="n">
        <v>113</v>
      </c>
      <c r="H130" s="14" t="n">
        <v>90</v>
      </c>
      <c r="I130" s="30" t="s">
        <v>273</v>
      </c>
      <c r="J130" s="30" t="s">
        <v>332</v>
      </c>
    </row>
    <row r="131" customFormat="false" ht="23.85" hidden="false" customHeight="false" outlineLevel="0" collapsed="false">
      <c r="A131" s="22" t="n">
        <v>46280</v>
      </c>
      <c r="B131" s="14" t="s">
        <v>85</v>
      </c>
      <c r="C131" s="14" t="s">
        <v>333</v>
      </c>
      <c r="D131" s="14" t="s">
        <v>277</v>
      </c>
      <c r="E131" s="14" t="n">
        <v>8</v>
      </c>
      <c r="F131" s="14" t="n">
        <v>0</v>
      </c>
      <c r="G131" s="14" t="n">
        <v>8</v>
      </c>
      <c r="H131" s="14" t="n">
        <v>8</v>
      </c>
      <c r="I131" s="30" t="s">
        <v>273</v>
      </c>
      <c r="J131" s="30" t="s">
        <v>334</v>
      </c>
    </row>
    <row r="132" customFormat="false" ht="23.85" hidden="false" customHeight="false" outlineLevel="0" collapsed="false">
      <c r="A132" s="22" t="n">
        <v>46280</v>
      </c>
      <c r="B132" s="14" t="s">
        <v>85</v>
      </c>
      <c r="C132" s="14" t="s">
        <v>335</v>
      </c>
      <c r="D132" s="14" t="s">
        <v>277</v>
      </c>
      <c r="E132" s="14" t="n">
        <v>22</v>
      </c>
      <c r="F132" s="14" t="n">
        <v>0</v>
      </c>
      <c r="G132" s="14" t="n">
        <v>21</v>
      </c>
      <c r="H132" s="14" t="n">
        <v>20</v>
      </c>
      <c r="I132" s="30" t="s">
        <v>273</v>
      </c>
      <c r="J132" s="30" t="s">
        <v>336</v>
      </c>
    </row>
    <row r="133" customFormat="false" ht="23.85" hidden="false" customHeight="false" outlineLevel="0" collapsed="false">
      <c r="A133" s="22" t="n">
        <v>46280</v>
      </c>
      <c r="B133" s="14" t="s">
        <v>85</v>
      </c>
      <c r="C133" s="14" t="s">
        <v>337</v>
      </c>
      <c r="D133" s="14" t="s">
        <v>277</v>
      </c>
      <c r="E133" s="14" t="n">
        <v>7</v>
      </c>
      <c r="F133" s="14" t="n">
        <v>0</v>
      </c>
      <c r="G133" s="14" t="n">
        <v>7</v>
      </c>
      <c r="H133" s="14" t="n">
        <v>6</v>
      </c>
      <c r="I133" s="30" t="s">
        <v>273</v>
      </c>
      <c r="J133" s="30" t="s">
        <v>338</v>
      </c>
    </row>
    <row r="134" customFormat="false" ht="23.85" hidden="false" customHeight="false" outlineLevel="0" collapsed="false">
      <c r="A134" s="22" t="n">
        <v>46280</v>
      </c>
      <c r="B134" s="14" t="s">
        <v>85</v>
      </c>
      <c r="C134" s="14" t="s">
        <v>339</v>
      </c>
      <c r="D134" s="14" t="s">
        <v>277</v>
      </c>
      <c r="E134" s="14" t="n">
        <v>14</v>
      </c>
      <c r="F134" s="14" t="n">
        <v>0</v>
      </c>
      <c r="G134" s="14" t="n">
        <v>14</v>
      </c>
      <c r="H134" s="14" t="n">
        <v>11</v>
      </c>
      <c r="I134" s="30" t="s">
        <v>273</v>
      </c>
      <c r="J134" s="30" t="s">
        <v>340</v>
      </c>
    </row>
    <row r="135" customFormat="false" ht="23.85" hidden="false" customHeight="false" outlineLevel="0" collapsed="false">
      <c r="A135" s="22" t="n">
        <v>46280</v>
      </c>
      <c r="B135" s="14" t="s">
        <v>85</v>
      </c>
      <c r="C135" s="14" t="s">
        <v>341</v>
      </c>
      <c r="D135" s="14" t="s">
        <v>277</v>
      </c>
      <c r="E135" s="14" t="n">
        <v>1</v>
      </c>
      <c r="F135" s="14" t="n">
        <v>0</v>
      </c>
      <c r="G135" s="14" t="n">
        <v>1</v>
      </c>
      <c r="H135" s="14" t="n">
        <v>1</v>
      </c>
      <c r="I135" s="30" t="s">
        <v>273</v>
      </c>
      <c r="J135" s="30" t="s">
        <v>342</v>
      </c>
    </row>
    <row r="136" customFormat="false" ht="23.85" hidden="false" customHeight="false" outlineLevel="0" collapsed="false">
      <c r="A136" s="22" t="n">
        <v>46280</v>
      </c>
      <c r="B136" s="14" t="s">
        <v>85</v>
      </c>
      <c r="C136" s="14" t="s">
        <v>343</v>
      </c>
      <c r="D136" s="14" t="s">
        <v>277</v>
      </c>
      <c r="E136" s="14" t="n">
        <v>469</v>
      </c>
      <c r="F136" s="14" t="n">
        <v>0</v>
      </c>
      <c r="G136" s="14" t="n">
        <v>411</v>
      </c>
      <c r="H136" s="14" t="n">
        <v>285</v>
      </c>
      <c r="I136" s="30" t="s">
        <v>273</v>
      </c>
      <c r="J136" s="30" t="s">
        <v>344</v>
      </c>
    </row>
    <row r="137" customFormat="false" ht="23.85" hidden="false" customHeight="false" outlineLevel="0" collapsed="false">
      <c r="A137" s="22" t="n">
        <v>46280</v>
      </c>
      <c r="B137" s="14" t="s">
        <v>85</v>
      </c>
      <c r="C137" s="14" t="s">
        <v>345</v>
      </c>
      <c r="D137" s="14" t="s">
        <v>277</v>
      </c>
      <c r="E137" s="14" t="n">
        <v>2</v>
      </c>
      <c r="F137" s="14" t="n">
        <v>0</v>
      </c>
      <c r="G137" s="14" t="n">
        <v>2</v>
      </c>
      <c r="H137" s="14" t="n">
        <v>1</v>
      </c>
      <c r="I137" s="30" t="s">
        <v>273</v>
      </c>
      <c r="J137" s="30" t="s">
        <v>346</v>
      </c>
    </row>
    <row r="138" customFormat="false" ht="23.85" hidden="false" customHeight="false" outlineLevel="0" collapsed="false">
      <c r="A138" s="22" t="n">
        <v>46280</v>
      </c>
      <c r="B138" s="14" t="s">
        <v>85</v>
      </c>
      <c r="C138" s="14" t="s">
        <v>347</v>
      </c>
      <c r="D138" s="14" t="s">
        <v>277</v>
      </c>
      <c r="E138" s="14" t="n">
        <v>1</v>
      </c>
      <c r="F138" s="14" t="n">
        <v>0</v>
      </c>
      <c r="G138" s="14" t="n">
        <v>1</v>
      </c>
      <c r="H138" s="14" t="n">
        <v>1</v>
      </c>
      <c r="I138" s="30" t="s">
        <v>273</v>
      </c>
      <c r="J138" s="30" t="s">
        <v>348</v>
      </c>
    </row>
    <row r="139" customFormat="false" ht="23.85" hidden="false" customHeight="false" outlineLevel="0" collapsed="false">
      <c r="A139" s="22" t="n">
        <v>46280</v>
      </c>
      <c r="B139" s="14" t="s">
        <v>85</v>
      </c>
      <c r="C139" s="14" t="s">
        <v>349</v>
      </c>
      <c r="D139" s="14" t="s">
        <v>277</v>
      </c>
      <c r="E139" s="14" t="n">
        <v>1</v>
      </c>
      <c r="F139" s="14" t="n">
        <v>0</v>
      </c>
      <c r="G139" s="14" t="n">
        <v>1</v>
      </c>
      <c r="H139" s="14" t="n">
        <v>0</v>
      </c>
      <c r="I139" s="30" t="s">
        <v>273</v>
      </c>
      <c r="J139" s="30" t="s">
        <v>350</v>
      </c>
    </row>
    <row r="140" customFormat="false" ht="23.85" hidden="false" customHeight="false" outlineLevel="0" collapsed="false">
      <c r="A140" s="22" t="n">
        <v>46280</v>
      </c>
      <c r="B140" s="14" t="s">
        <v>85</v>
      </c>
      <c r="C140" s="14" t="s">
        <v>351</v>
      </c>
      <c r="D140" s="14" t="s">
        <v>277</v>
      </c>
      <c r="E140" s="14" t="n">
        <v>9</v>
      </c>
      <c r="F140" s="14" t="n">
        <v>0</v>
      </c>
      <c r="G140" s="14" t="n">
        <v>9</v>
      </c>
      <c r="H140" s="14" t="n">
        <v>8</v>
      </c>
      <c r="I140" s="30" t="s">
        <v>273</v>
      </c>
      <c r="J140" s="30" t="s">
        <v>352</v>
      </c>
    </row>
    <row r="141" customFormat="false" ht="23.85" hidden="false" customHeight="false" outlineLevel="0" collapsed="false">
      <c r="A141" s="22" t="n">
        <v>46280</v>
      </c>
      <c r="B141" s="14" t="s">
        <v>85</v>
      </c>
      <c r="C141" s="14" t="s">
        <v>353</v>
      </c>
      <c r="D141" s="14" t="s">
        <v>277</v>
      </c>
      <c r="E141" s="14" t="n">
        <v>10</v>
      </c>
      <c r="F141" s="14" t="n">
        <v>0</v>
      </c>
      <c r="G141" s="14" t="n">
        <v>10</v>
      </c>
      <c r="H141" s="14" t="n">
        <v>6</v>
      </c>
      <c r="I141" s="30" t="s">
        <v>273</v>
      </c>
      <c r="J141" s="30" t="s">
        <v>354</v>
      </c>
    </row>
    <row r="142" customFormat="false" ht="23.85" hidden="false" customHeight="false" outlineLevel="0" collapsed="false">
      <c r="A142" s="22" t="n">
        <v>46280</v>
      </c>
      <c r="B142" s="14" t="s">
        <v>85</v>
      </c>
      <c r="C142" s="14" t="s">
        <v>355</v>
      </c>
      <c r="D142" s="14" t="s">
        <v>277</v>
      </c>
      <c r="E142" s="14" t="n">
        <v>7</v>
      </c>
      <c r="F142" s="14" t="n">
        <v>0</v>
      </c>
      <c r="G142" s="14" t="n">
        <v>6</v>
      </c>
      <c r="H142" s="14" t="n">
        <v>2</v>
      </c>
      <c r="I142" s="30" t="s">
        <v>273</v>
      </c>
      <c r="J142" s="30" t="s">
        <v>356</v>
      </c>
    </row>
    <row r="143" customFormat="false" ht="23.85" hidden="false" customHeight="false" outlineLevel="0" collapsed="false">
      <c r="A143" s="22" t="n">
        <v>46280</v>
      </c>
      <c r="B143" s="14" t="s">
        <v>85</v>
      </c>
      <c r="C143" s="14" t="s">
        <v>357</v>
      </c>
      <c r="D143" s="14" t="s">
        <v>277</v>
      </c>
      <c r="E143" s="14" t="n">
        <v>1</v>
      </c>
      <c r="F143" s="14" t="n">
        <v>0</v>
      </c>
      <c r="G143" s="14" t="n">
        <v>1</v>
      </c>
      <c r="H143" s="14" t="n">
        <v>1</v>
      </c>
      <c r="I143" s="30" t="s">
        <v>273</v>
      </c>
      <c r="J143" s="30" t="s">
        <v>358</v>
      </c>
    </row>
    <row r="144" customFormat="false" ht="23.85" hidden="false" customHeight="false" outlineLevel="0" collapsed="false">
      <c r="A144" s="22" t="n">
        <v>46280</v>
      </c>
      <c r="B144" s="14" t="s">
        <v>85</v>
      </c>
      <c r="C144" s="14" t="s">
        <v>359</v>
      </c>
      <c r="D144" s="14" t="s">
        <v>277</v>
      </c>
      <c r="E144" s="14" t="n">
        <v>7</v>
      </c>
      <c r="F144" s="14" t="n">
        <v>0</v>
      </c>
      <c r="G144" s="14" t="n">
        <v>6</v>
      </c>
      <c r="H144" s="14" t="n">
        <v>3</v>
      </c>
      <c r="I144" s="30" t="s">
        <v>273</v>
      </c>
      <c r="J144" s="30" t="s">
        <v>360</v>
      </c>
    </row>
    <row r="145" customFormat="false" ht="23.85" hidden="false" customHeight="false" outlineLevel="0" collapsed="false">
      <c r="A145" s="22" t="n">
        <v>46280</v>
      </c>
      <c r="B145" s="14" t="s">
        <v>85</v>
      </c>
      <c r="C145" s="14" t="s">
        <v>361</v>
      </c>
      <c r="D145" s="14" t="s">
        <v>277</v>
      </c>
      <c r="E145" s="14" t="n">
        <v>59</v>
      </c>
      <c r="F145" s="14" t="n">
        <v>0</v>
      </c>
      <c r="G145" s="14" t="n">
        <v>54</v>
      </c>
      <c r="H145" s="14" t="n">
        <v>43</v>
      </c>
      <c r="I145" s="30" t="s">
        <v>273</v>
      </c>
      <c r="J145" s="30" t="s">
        <v>362</v>
      </c>
    </row>
    <row r="146" customFormat="false" ht="23.85" hidden="false" customHeight="false" outlineLevel="0" collapsed="false">
      <c r="A146" s="22" t="n">
        <v>46280</v>
      </c>
      <c r="B146" s="14" t="s">
        <v>48</v>
      </c>
      <c r="C146" s="14" t="s">
        <v>363</v>
      </c>
      <c r="D146" s="14" t="s">
        <v>277</v>
      </c>
      <c r="E146" s="14" t="n">
        <v>0</v>
      </c>
      <c r="F146" s="14" t="n">
        <v>0</v>
      </c>
      <c r="G146" s="14" t="n">
        <v>4</v>
      </c>
      <c r="H146" s="14" t="n">
        <v>0</v>
      </c>
      <c r="I146" s="30" t="s">
        <v>273</v>
      </c>
      <c r="J146" s="30" t="s">
        <v>364</v>
      </c>
    </row>
    <row r="147" customFormat="false" ht="23.85" hidden="false" customHeight="false" outlineLevel="0" collapsed="false">
      <c r="A147" s="22" t="n">
        <v>46280</v>
      </c>
      <c r="B147" s="14" t="s">
        <v>48</v>
      </c>
      <c r="C147" s="14" t="s">
        <v>365</v>
      </c>
      <c r="D147" s="14" t="s">
        <v>277</v>
      </c>
      <c r="E147" s="14" t="n">
        <v>0</v>
      </c>
      <c r="F147" s="14" t="n">
        <v>0</v>
      </c>
      <c r="G147" s="14" t="n">
        <v>6</v>
      </c>
      <c r="H147" s="14" t="n">
        <v>0</v>
      </c>
      <c r="I147" s="30" t="s">
        <v>273</v>
      </c>
      <c r="J147" s="30" t="s">
        <v>366</v>
      </c>
    </row>
    <row r="148" customFormat="false" ht="23.85" hidden="false" customHeight="false" outlineLevel="0" collapsed="false">
      <c r="A148" s="22" t="n">
        <v>46280</v>
      </c>
      <c r="B148" s="14" t="s">
        <v>48</v>
      </c>
      <c r="C148" s="14" t="s">
        <v>367</v>
      </c>
      <c r="D148" s="14" t="s">
        <v>277</v>
      </c>
      <c r="E148" s="14" t="n">
        <v>0</v>
      </c>
      <c r="F148" s="14" t="n">
        <v>0</v>
      </c>
      <c r="G148" s="14" t="n">
        <v>50</v>
      </c>
      <c r="H148" s="14" t="n">
        <v>0</v>
      </c>
      <c r="I148" s="30" t="s">
        <v>273</v>
      </c>
      <c r="J148" s="30" t="s">
        <v>368</v>
      </c>
    </row>
    <row r="149" customFormat="false" ht="23.85" hidden="false" customHeight="false" outlineLevel="0" collapsed="false">
      <c r="A149" s="22" t="n">
        <v>46280</v>
      </c>
      <c r="B149" s="14" t="s">
        <v>48</v>
      </c>
      <c r="C149" s="14" t="s">
        <v>369</v>
      </c>
      <c r="D149" s="14" t="s">
        <v>277</v>
      </c>
      <c r="E149" s="14" t="n">
        <v>0</v>
      </c>
      <c r="F149" s="14" t="n">
        <v>0</v>
      </c>
      <c r="G149" s="14" t="n">
        <v>10</v>
      </c>
      <c r="H149" s="14" t="n">
        <v>0</v>
      </c>
      <c r="I149" s="30" t="s">
        <v>273</v>
      </c>
      <c r="J149" s="30" t="s">
        <v>370</v>
      </c>
    </row>
    <row r="150" customFormat="false" ht="23.85" hidden="false" customHeight="false" outlineLevel="0" collapsed="false">
      <c r="A150" s="22" t="n">
        <v>46280</v>
      </c>
      <c r="B150" s="14" t="s">
        <v>48</v>
      </c>
      <c r="C150" s="14" t="s">
        <v>371</v>
      </c>
      <c r="D150" s="14" t="s">
        <v>277</v>
      </c>
      <c r="E150" s="14" t="n">
        <v>0</v>
      </c>
      <c r="F150" s="14" t="n">
        <v>0</v>
      </c>
      <c r="G150" s="14" t="n">
        <v>3</v>
      </c>
      <c r="H150" s="14" t="n">
        <v>0</v>
      </c>
      <c r="I150" s="30" t="s">
        <v>273</v>
      </c>
      <c r="J150" s="30" t="s">
        <v>372</v>
      </c>
    </row>
    <row r="151" customFormat="false" ht="23.85" hidden="false" customHeight="false" outlineLevel="0" collapsed="false">
      <c r="A151" s="22" t="n">
        <v>46280</v>
      </c>
      <c r="B151" s="14" t="s">
        <v>48</v>
      </c>
      <c r="C151" s="14" t="s">
        <v>373</v>
      </c>
      <c r="D151" s="14" t="s">
        <v>122</v>
      </c>
      <c r="E151" s="14" t="n">
        <v>0</v>
      </c>
      <c r="F151" s="14" t="n">
        <v>0</v>
      </c>
      <c r="G151" s="14" t="n">
        <v>0</v>
      </c>
      <c r="H151" s="14" t="n">
        <v>0</v>
      </c>
      <c r="I151" s="30" t="s">
        <v>273</v>
      </c>
      <c r="J151" s="30" t="s">
        <v>370</v>
      </c>
    </row>
    <row r="152" customFormat="false" ht="23.85" hidden="false" customHeight="false" outlineLevel="0" collapsed="false">
      <c r="A152" s="22" t="n">
        <v>46280</v>
      </c>
      <c r="B152" s="14" t="s">
        <v>48</v>
      </c>
      <c r="C152" s="14" t="s">
        <v>374</v>
      </c>
      <c r="D152" s="14" t="s">
        <v>277</v>
      </c>
      <c r="E152" s="14" t="n">
        <v>0</v>
      </c>
      <c r="F152" s="14" t="n">
        <v>0</v>
      </c>
      <c r="G152" s="14" t="n">
        <v>25</v>
      </c>
      <c r="H152" s="14" t="n">
        <v>0</v>
      </c>
      <c r="I152" s="30" t="s">
        <v>273</v>
      </c>
      <c r="J152" s="30" t="s">
        <v>375</v>
      </c>
    </row>
    <row r="153" customFormat="false" ht="23.85" hidden="false" customHeight="false" outlineLevel="0" collapsed="false">
      <c r="A153" s="22" t="n">
        <v>46280</v>
      </c>
      <c r="B153" s="14" t="s">
        <v>48</v>
      </c>
      <c r="C153" s="14" t="s">
        <v>376</v>
      </c>
      <c r="D153" s="14" t="s">
        <v>277</v>
      </c>
      <c r="E153" s="14" t="n">
        <v>0</v>
      </c>
      <c r="F153" s="14" t="n">
        <v>0</v>
      </c>
      <c r="G153" s="14" t="n">
        <v>20</v>
      </c>
      <c r="H153" s="14" t="n">
        <v>0</v>
      </c>
      <c r="I153" s="30" t="s">
        <v>273</v>
      </c>
      <c r="J153" s="30" t="s">
        <v>370</v>
      </c>
    </row>
    <row r="154" customFormat="false" ht="23.85" hidden="false" customHeight="false" outlineLevel="0" collapsed="false">
      <c r="A154" s="22" t="n">
        <v>46280</v>
      </c>
      <c r="B154" s="14" t="s">
        <v>48</v>
      </c>
      <c r="C154" s="14" t="s">
        <v>377</v>
      </c>
      <c r="D154" s="14" t="s">
        <v>277</v>
      </c>
      <c r="E154" s="14" t="n">
        <v>0</v>
      </c>
      <c r="F154" s="14" t="n">
        <v>0</v>
      </c>
      <c r="G154" s="14" t="n">
        <v>15</v>
      </c>
      <c r="H154" s="14" t="n">
        <v>0</v>
      </c>
      <c r="I154" s="30" t="s">
        <v>273</v>
      </c>
      <c r="J154" s="30" t="s">
        <v>378</v>
      </c>
    </row>
    <row r="155" customFormat="false" ht="23.85" hidden="false" customHeight="false" outlineLevel="0" collapsed="false">
      <c r="A155" s="22" t="n">
        <v>46280</v>
      </c>
      <c r="B155" s="14" t="s">
        <v>48</v>
      </c>
      <c r="C155" s="14" t="s">
        <v>379</v>
      </c>
      <c r="D155" s="14" t="s">
        <v>122</v>
      </c>
      <c r="E155" s="14" t="n">
        <v>0</v>
      </c>
      <c r="F155" s="14" t="n">
        <v>0</v>
      </c>
      <c r="G155" s="14" t="n">
        <v>0</v>
      </c>
      <c r="H155" s="14" t="n">
        <v>0</v>
      </c>
      <c r="I155" s="30" t="s">
        <v>273</v>
      </c>
      <c r="J155" s="30" t="s">
        <v>380</v>
      </c>
    </row>
    <row r="156" customFormat="false" ht="23.85" hidden="false" customHeight="false" outlineLevel="0" collapsed="false">
      <c r="A156" s="22" t="n">
        <v>46280</v>
      </c>
      <c r="B156" s="14" t="s">
        <v>48</v>
      </c>
      <c r="C156" s="14" t="s">
        <v>296</v>
      </c>
      <c r="D156" s="14" t="s">
        <v>122</v>
      </c>
      <c r="E156" s="14" t="n">
        <v>0</v>
      </c>
      <c r="F156" s="14" t="n">
        <v>0</v>
      </c>
      <c r="G156" s="14" t="n">
        <v>0</v>
      </c>
      <c r="H156" s="14" t="n">
        <v>0</v>
      </c>
      <c r="I156" s="30" t="s">
        <v>273</v>
      </c>
      <c r="J156" s="30" t="s">
        <v>381</v>
      </c>
    </row>
    <row r="157" customFormat="false" ht="23.85" hidden="false" customHeight="false" outlineLevel="0" collapsed="false">
      <c r="A157" s="22" t="n">
        <v>46280</v>
      </c>
      <c r="B157" s="14" t="s">
        <v>48</v>
      </c>
      <c r="C157" s="14" t="s">
        <v>382</v>
      </c>
      <c r="D157" s="14" t="s">
        <v>277</v>
      </c>
      <c r="E157" s="14" t="n">
        <v>0</v>
      </c>
      <c r="F157" s="14" t="n">
        <v>0</v>
      </c>
      <c r="G157" s="14" t="n">
        <v>23</v>
      </c>
      <c r="H157" s="14" t="n">
        <v>0</v>
      </c>
      <c r="I157" s="30" t="s">
        <v>273</v>
      </c>
      <c r="J157" s="30" t="s">
        <v>370</v>
      </c>
    </row>
    <row r="158" customFormat="false" ht="23.85" hidden="false" customHeight="false" outlineLevel="0" collapsed="false">
      <c r="A158" s="22" t="n">
        <v>46280</v>
      </c>
      <c r="B158" s="14" t="s">
        <v>48</v>
      </c>
      <c r="C158" s="14" t="s">
        <v>383</v>
      </c>
      <c r="D158" s="14" t="s">
        <v>122</v>
      </c>
      <c r="E158" s="14" t="n">
        <v>0</v>
      </c>
      <c r="F158" s="14" t="n">
        <v>0</v>
      </c>
      <c r="G158" s="14" t="n">
        <v>0</v>
      </c>
      <c r="H158" s="14" t="n">
        <v>0</v>
      </c>
      <c r="I158" s="30" t="s">
        <v>273</v>
      </c>
      <c r="J158" s="30" t="s">
        <v>372</v>
      </c>
    </row>
    <row r="159" customFormat="false" ht="23.85" hidden="false" customHeight="false" outlineLevel="0" collapsed="false">
      <c r="A159" s="22" t="n">
        <v>46280</v>
      </c>
      <c r="B159" s="14" t="s">
        <v>48</v>
      </c>
      <c r="C159" s="14" t="s">
        <v>384</v>
      </c>
      <c r="D159" s="14" t="s">
        <v>277</v>
      </c>
      <c r="E159" s="14" t="n">
        <v>0</v>
      </c>
      <c r="F159" s="14" t="n">
        <v>0</v>
      </c>
      <c r="G159" s="14" t="n">
        <v>40</v>
      </c>
      <c r="H159" s="14" t="n">
        <v>0</v>
      </c>
      <c r="I159" s="30" t="s">
        <v>273</v>
      </c>
      <c r="J159" s="30" t="s">
        <v>368</v>
      </c>
    </row>
    <row r="160" customFormat="false" ht="23.85" hidden="false" customHeight="false" outlineLevel="0" collapsed="false">
      <c r="A160" s="22" t="n">
        <v>46280</v>
      </c>
      <c r="B160" s="14" t="s">
        <v>48</v>
      </c>
      <c r="C160" s="14" t="s">
        <v>347</v>
      </c>
      <c r="D160" s="14" t="s">
        <v>277</v>
      </c>
      <c r="E160" s="14" t="n">
        <v>0</v>
      </c>
      <c r="F160" s="14" t="n">
        <v>0</v>
      </c>
      <c r="G160" s="14" t="n">
        <v>18</v>
      </c>
      <c r="H160" s="14" t="n">
        <v>0</v>
      </c>
      <c r="I160" s="30" t="s">
        <v>273</v>
      </c>
      <c r="J160" s="30" t="s">
        <v>385</v>
      </c>
    </row>
    <row r="161" customFormat="false" ht="23.85" hidden="false" customHeight="false" outlineLevel="0" collapsed="false">
      <c r="A161" s="22" t="n">
        <v>46280</v>
      </c>
      <c r="B161" s="14" t="s">
        <v>48</v>
      </c>
      <c r="C161" s="14" t="s">
        <v>121</v>
      </c>
      <c r="D161" s="14" t="s">
        <v>122</v>
      </c>
      <c r="E161" s="14" t="n">
        <v>0</v>
      </c>
      <c r="F161" s="14" t="n">
        <v>0</v>
      </c>
      <c r="G161" s="14" t="n">
        <v>0</v>
      </c>
      <c r="H161" s="14" t="n">
        <v>0</v>
      </c>
      <c r="I161" s="30" t="s">
        <v>273</v>
      </c>
      <c r="J161" s="30" t="s">
        <v>386</v>
      </c>
    </row>
    <row r="162" customFormat="false" ht="23.85" hidden="false" customHeight="false" outlineLevel="0" collapsed="false">
      <c r="A162" s="22" t="n">
        <v>46280</v>
      </c>
      <c r="B162" s="14" t="s">
        <v>48</v>
      </c>
      <c r="C162" s="14" t="s">
        <v>387</v>
      </c>
      <c r="D162" s="14" t="s">
        <v>122</v>
      </c>
      <c r="E162" s="14" t="n">
        <v>0</v>
      </c>
      <c r="F162" s="14" t="n">
        <v>0</v>
      </c>
      <c r="G162" s="14" t="n">
        <v>0</v>
      </c>
      <c r="H162" s="14" t="n">
        <v>0</v>
      </c>
      <c r="I162" s="30" t="s">
        <v>273</v>
      </c>
      <c r="J162" s="30" t="s">
        <v>388</v>
      </c>
    </row>
    <row r="163" customFormat="false" ht="23.85" hidden="false" customHeight="false" outlineLevel="0" collapsed="false">
      <c r="A163" s="22" t="n">
        <v>46280</v>
      </c>
      <c r="B163" s="14" t="s">
        <v>48</v>
      </c>
      <c r="C163" s="14" t="s">
        <v>389</v>
      </c>
      <c r="D163" s="14" t="s">
        <v>277</v>
      </c>
      <c r="E163" s="14" t="n">
        <v>0</v>
      </c>
      <c r="F163" s="14" t="n">
        <v>0</v>
      </c>
      <c r="G163" s="14" t="n">
        <v>27</v>
      </c>
      <c r="H163" s="14" t="n">
        <v>0</v>
      </c>
      <c r="I163" s="30" t="s">
        <v>273</v>
      </c>
      <c r="J163" s="30" t="s">
        <v>368</v>
      </c>
    </row>
    <row r="164" customFormat="false" ht="23.85" hidden="false" customHeight="false" outlineLevel="0" collapsed="false">
      <c r="A164" s="22" t="n">
        <v>46280</v>
      </c>
      <c r="B164" s="14" t="s">
        <v>48</v>
      </c>
      <c r="C164" s="14" t="s">
        <v>390</v>
      </c>
      <c r="D164" s="14" t="s">
        <v>277</v>
      </c>
      <c r="E164" s="14" t="n">
        <v>0</v>
      </c>
      <c r="F164" s="14" t="n">
        <v>0</v>
      </c>
      <c r="G164" s="14" t="n">
        <v>36</v>
      </c>
      <c r="H164" s="14" t="n">
        <v>0</v>
      </c>
      <c r="I164" s="30" t="s">
        <v>273</v>
      </c>
      <c r="J164" s="30" t="s">
        <v>368</v>
      </c>
    </row>
    <row r="165" customFormat="false" ht="23.85" hidden="false" customHeight="false" outlineLevel="0" collapsed="false">
      <c r="A165" s="22" t="n">
        <v>46280</v>
      </c>
      <c r="B165" s="14" t="s">
        <v>48</v>
      </c>
      <c r="C165" s="14" t="s">
        <v>391</v>
      </c>
      <c r="D165" s="14" t="s">
        <v>122</v>
      </c>
      <c r="E165" s="14" t="n">
        <v>0</v>
      </c>
      <c r="F165" s="14" t="n">
        <v>0</v>
      </c>
      <c r="G165" s="14" t="n">
        <v>0</v>
      </c>
      <c r="H165" s="14" t="n">
        <v>0</v>
      </c>
      <c r="I165" s="30" t="s">
        <v>273</v>
      </c>
      <c r="J165" s="30" t="s">
        <v>392</v>
      </c>
    </row>
    <row r="166" customFormat="false" ht="23.85" hidden="false" customHeight="false" outlineLevel="0" collapsed="false">
      <c r="A166" s="22" t="n">
        <v>46280</v>
      </c>
      <c r="B166" s="14" t="s">
        <v>48</v>
      </c>
      <c r="C166" s="14" t="s">
        <v>320</v>
      </c>
      <c r="D166" s="14" t="s">
        <v>277</v>
      </c>
      <c r="E166" s="14" t="n">
        <v>0</v>
      </c>
      <c r="F166" s="14" t="n">
        <v>0</v>
      </c>
      <c r="G166" s="14" t="n">
        <v>49</v>
      </c>
      <c r="H166" s="14" t="n">
        <v>0</v>
      </c>
      <c r="I166" s="30" t="s">
        <v>273</v>
      </c>
      <c r="J166" s="30" t="s">
        <v>393</v>
      </c>
    </row>
    <row r="167" customFormat="false" ht="23.85" hidden="false" customHeight="false" outlineLevel="0" collapsed="false">
      <c r="A167" s="22" t="n">
        <v>46280</v>
      </c>
      <c r="B167" s="14" t="s">
        <v>48</v>
      </c>
      <c r="C167" s="14" t="s">
        <v>394</v>
      </c>
      <c r="D167" s="14" t="s">
        <v>277</v>
      </c>
      <c r="E167" s="14" t="n">
        <v>0</v>
      </c>
      <c r="F167" s="14" t="n">
        <v>0</v>
      </c>
      <c r="G167" s="14" t="n">
        <v>50</v>
      </c>
      <c r="H167" s="14" t="n">
        <v>0</v>
      </c>
      <c r="I167" s="30" t="s">
        <v>273</v>
      </c>
      <c r="J167" s="30" t="s">
        <v>370</v>
      </c>
    </row>
    <row r="168" customFormat="false" ht="23.85" hidden="false" customHeight="false" outlineLevel="0" collapsed="false">
      <c r="A168" s="22" t="n">
        <v>46280</v>
      </c>
      <c r="B168" s="14" t="s">
        <v>48</v>
      </c>
      <c r="C168" s="14" t="s">
        <v>395</v>
      </c>
      <c r="D168" s="14" t="s">
        <v>122</v>
      </c>
      <c r="E168" s="14" t="n">
        <v>0</v>
      </c>
      <c r="F168" s="14" t="n">
        <v>0</v>
      </c>
      <c r="G168" s="14" t="n">
        <v>0</v>
      </c>
      <c r="H168" s="14" t="n">
        <v>0</v>
      </c>
      <c r="I168" s="30" t="s">
        <v>273</v>
      </c>
      <c r="J168" s="30" t="s">
        <v>396</v>
      </c>
    </row>
    <row r="169" customFormat="false" ht="23.85" hidden="false" customHeight="false" outlineLevel="0" collapsed="false">
      <c r="A169" s="22" t="n">
        <v>46280</v>
      </c>
      <c r="B169" s="14" t="s">
        <v>48</v>
      </c>
      <c r="C169" s="14" t="s">
        <v>397</v>
      </c>
      <c r="D169" s="14" t="s">
        <v>122</v>
      </c>
      <c r="E169" s="14" t="n">
        <v>0</v>
      </c>
      <c r="F169" s="14" t="n">
        <v>0</v>
      </c>
      <c r="G169" s="14" t="n">
        <v>0</v>
      </c>
      <c r="H169" s="14" t="n">
        <v>0</v>
      </c>
      <c r="I169" s="30" t="s">
        <v>273</v>
      </c>
      <c r="J169" s="30" t="s">
        <v>398</v>
      </c>
    </row>
    <row r="170" customFormat="false" ht="23.85" hidden="false" customHeight="false" outlineLevel="0" collapsed="false">
      <c r="A170" s="22" t="n">
        <v>46280</v>
      </c>
      <c r="B170" s="14" t="s">
        <v>48</v>
      </c>
      <c r="C170" s="14" t="s">
        <v>399</v>
      </c>
      <c r="D170" s="14" t="s">
        <v>122</v>
      </c>
      <c r="E170" s="14" t="n">
        <v>0</v>
      </c>
      <c r="F170" s="14" t="n">
        <v>0</v>
      </c>
      <c r="G170" s="14" t="n">
        <v>0</v>
      </c>
      <c r="H170" s="14" t="n">
        <v>0</v>
      </c>
      <c r="I170" s="30" t="s">
        <v>273</v>
      </c>
      <c r="J170" s="30" t="s">
        <v>370</v>
      </c>
    </row>
    <row r="171" customFormat="false" ht="23.85" hidden="false" customHeight="false" outlineLevel="0" collapsed="false">
      <c r="A171" s="22" t="n">
        <v>46280</v>
      </c>
      <c r="B171" s="14" t="s">
        <v>48</v>
      </c>
      <c r="C171" s="14" t="s">
        <v>400</v>
      </c>
      <c r="D171" s="14" t="s">
        <v>277</v>
      </c>
      <c r="E171" s="14" t="n">
        <v>0</v>
      </c>
      <c r="F171" s="14" t="n">
        <v>0</v>
      </c>
      <c r="G171" s="14" t="n">
        <v>1</v>
      </c>
      <c r="H171" s="14" t="n">
        <v>0</v>
      </c>
      <c r="I171" s="30" t="s">
        <v>273</v>
      </c>
      <c r="J171" s="30" t="s">
        <v>401</v>
      </c>
    </row>
    <row r="172" customFormat="false" ht="23.85" hidden="false" customHeight="false" outlineLevel="0" collapsed="false">
      <c r="A172" s="22" t="n">
        <v>46280</v>
      </c>
      <c r="B172" s="14" t="s">
        <v>48</v>
      </c>
      <c r="C172" s="14" t="s">
        <v>402</v>
      </c>
      <c r="D172" s="14" t="s">
        <v>277</v>
      </c>
      <c r="E172" s="14" t="n">
        <v>0</v>
      </c>
      <c r="F172" s="14" t="n">
        <v>0</v>
      </c>
      <c r="G172" s="14" t="n">
        <v>14</v>
      </c>
      <c r="H172" s="14" t="n">
        <v>0</v>
      </c>
      <c r="I172" s="30" t="s">
        <v>273</v>
      </c>
      <c r="J172" s="30" t="s">
        <v>364</v>
      </c>
    </row>
    <row r="173" customFormat="false" ht="23.85" hidden="false" customHeight="false" outlineLevel="0" collapsed="false">
      <c r="A173" s="22" t="n">
        <v>46280</v>
      </c>
      <c r="B173" s="14" t="s">
        <v>48</v>
      </c>
      <c r="C173" s="14" t="s">
        <v>403</v>
      </c>
      <c r="D173" s="14" t="s">
        <v>277</v>
      </c>
      <c r="E173" s="14" t="n">
        <v>0</v>
      </c>
      <c r="F173" s="14" t="n">
        <v>0</v>
      </c>
      <c r="G173" s="14" t="n">
        <v>25</v>
      </c>
      <c r="H173" s="14" t="n">
        <v>0</v>
      </c>
      <c r="I173" s="30" t="s">
        <v>273</v>
      </c>
      <c r="J173" s="30" t="s">
        <v>396</v>
      </c>
    </row>
    <row r="174" customFormat="false" ht="23.85" hidden="false" customHeight="false" outlineLevel="0" collapsed="false">
      <c r="A174" s="22" t="n">
        <v>46280</v>
      </c>
      <c r="B174" s="14" t="s">
        <v>48</v>
      </c>
      <c r="C174" s="14" t="s">
        <v>404</v>
      </c>
      <c r="D174" s="14" t="s">
        <v>277</v>
      </c>
      <c r="E174" s="14" t="n">
        <v>0</v>
      </c>
      <c r="F174" s="14" t="n">
        <v>0</v>
      </c>
      <c r="G174" s="14" t="n">
        <v>17</v>
      </c>
      <c r="H174" s="14" t="n">
        <v>0</v>
      </c>
      <c r="I174" s="30" t="s">
        <v>273</v>
      </c>
      <c r="J174" s="30" t="s">
        <v>372</v>
      </c>
    </row>
    <row r="175" customFormat="false" ht="23.85" hidden="false" customHeight="false" outlineLevel="0" collapsed="false">
      <c r="A175" s="22" t="n">
        <v>46280</v>
      </c>
      <c r="B175" s="14" t="s">
        <v>48</v>
      </c>
      <c r="C175" s="14" t="s">
        <v>405</v>
      </c>
      <c r="D175" s="14" t="s">
        <v>122</v>
      </c>
      <c r="E175" s="14" t="n">
        <v>0</v>
      </c>
      <c r="F175" s="14" t="n">
        <v>0</v>
      </c>
      <c r="G175" s="14" t="n">
        <v>0</v>
      </c>
      <c r="H175" s="14" t="n">
        <v>0</v>
      </c>
      <c r="I175" s="30" t="s">
        <v>273</v>
      </c>
      <c r="J175" s="30" t="s">
        <v>370</v>
      </c>
    </row>
    <row r="176" customFormat="false" ht="23.85" hidden="false" customHeight="false" outlineLevel="0" collapsed="false">
      <c r="A176" s="22" t="n">
        <v>46280</v>
      </c>
      <c r="B176" s="14" t="s">
        <v>48</v>
      </c>
      <c r="C176" s="14" t="s">
        <v>406</v>
      </c>
      <c r="D176" s="14" t="s">
        <v>122</v>
      </c>
      <c r="E176" s="14" t="n">
        <v>0</v>
      </c>
      <c r="F176" s="14" t="n">
        <v>0</v>
      </c>
      <c r="G176" s="14" t="n">
        <v>0</v>
      </c>
      <c r="H176" s="14" t="n">
        <v>0</v>
      </c>
      <c r="I176" s="30" t="s">
        <v>273</v>
      </c>
      <c r="J176" s="30" t="s">
        <v>407</v>
      </c>
    </row>
    <row r="177" customFormat="false" ht="23.85" hidden="false" customHeight="false" outlineLevel="0" collapsed="false">
      <c r="A177" s="22" t="n">
        <v>46280</v>
      </c>
      <c r="B177" s="14" t="s">
        <v>48</v>
      </c>
      <c r="C177" s="14" t="s">
        <v>408</v>
      </c>
      <c r="D177" s="14" t="s">
        <v>122</v>
      </c>
      <c r="E177" s="14" t="n">
        <v>0</v>
      </c>
      <c r="F177" s="14" t="n">
        <v>0</v>
      </c>
      <c r="G177" s="14" t="n">
        <v>0</v>
      </c>
      <c r="H177" s="14" t="n">
        <v>0</v>
      </c>
      <c r="I177" s="30" t="s">
        <v>273</v>
      </c>
      <c r="J177" s="30" t="s">
        <v>409</v>
      </c>
    </row>
    <row r="178" customFormat="false" ht="23.85" hidden="false" customHeight="false" outlineLevel="0" collapsed="false">
      <c r="A178" s="22" t="n">
        <v>46280</v>
      </c>
      <c r="B178" s="14" t="s">
        <v>48</v>
      </c>
      <c r="C178" s="14" t="s">
        <v>410</v>
      </c>
      <c r="D178" s="14" t="s">
        <v>122</v>
      </c>
      <c r="E178" s="14" t="n">
        <v>0</v>
      </c>
      <c r="F178" s="14" t="n">
        <v>0</v>
      </c>
      <c r="G178" s="14" t="n">
        <v>0</v>
      </c>
      <c r="H178" s="14" t="n">
        <v>0</v>
      </c>
      <c r="I178" s="30" t="s">
        <v>273</v>
      </c>
      <c r="J178" s="30" t="s">
        <v>411</v>
      </c>
    </row>
    <row r="179" customFormat="false" ht="23.85" hidden="false" customHeight="false" outlineLevel="0" collapsed="false">
      <c r="A179" s="22" t="n">
        <v>46280</v>
      </c>
      <c r="B179" s="14" t="s">
        <v>48</v>
      </c>
      <c r="C179" s="14" t="s">
        <v>316</v>
      </c>
      <c r="D179" s="14" t="s">
        <v>122</v>
      </c>
      <c r="E179" s="14" t="n">
        <v>0</v>
      </c>
      <c r="F179" s="14" t="n">
        <v>0</v>
      </c>
      <c r="G179" s="14" t="n">
        <v>0</v>
      </c>
      <c r="H179" s="14" t="n">
        <v>0</v>
      </c>
      <c r="I179" s="30" t="s">
        <v>273</v>
      </c>
      <c r="J179" s="30" t="s">
        <v>386</v>
      </c>
    </row>
    <row r="180" customFormat="false" ht="23.85" hidden="false" customHeight="false" outlineLevel="0" collapsed="false">
      <c r="A180" s="22" t="n">
        <v>46280</v>
      </c>
      <c r="B180" s="14" t="s">
        <v>48</v>
      </c>
      <c r="C180" s="14" t="s">
        <v>412</v>
      </c>
      <c r="D180" s="14" t="s">
        <v>122</v>
      </c>
      <c r="E180" s="14" t="n">
        <v>0</v>
      </c>
      <c r="F180" s="14" t="n">
        <v>0</v>
      </c>
      <c r="G180" s="14" t="n">
        <v>0</v>
      </c>
      <c r="H180" s="14" t="n">
        <v>0</v>
      </c>
      <c r="I180" s="30" t="s">
        <v>273</v>
      </c>
      <c r="J180" s="30" t="s">
        <v>378</v>
      </c>
    </row>
    <row r="181" customFormat="false" ht="23.85" hidden="false" customHeight="false" outlineLevel="0" collapsed="false">
      <c r="A181" s="22" t="n">
        <v>46280</v>
      </c>
      <c r="B181" s="14" t="s">
        <v>48</v>
      </c>
      <c r="C181" s="14" t="s">
        <v>413</v>
      </c>
      <c r="D181" s="14" t="s">
        <v>122</v>
      </c>
      <c r="E181" s="14" t="n">
        <v>0</v>
      </c>
      <c r="F181" s="14" t="n">
        <v>0</v>
      </c>
      <c r="G181" s="14" t="n">
        <v>0</v>
      </c>
      <c r="H181" s="14" t="n">
        <v>0</v>
      </c>
      <c r="I181" s="30" t="s">
        <v>273</v>
      </c>
      <c r="J181" s="30" t="s">
        <v>414</v>
      </c>
    </row>
    <row r="182" customFormat="false" ht="23.85" hidden="false" customHeight="false" outlineLevel="0" collapsed="false">
      <c r="A182" s="22" t="n">
        <v>46280</v>
      </c>
      <c r="B182" s="14" t="s">
        <v>48</v>
      </c>
      <c r="C182" s="14" t="s">
        <v>349</v>
      </c>
      <c r="D182" s="14" t="s">
        <v>122</v>
      </c>
      <c r="E182" s="14" t="n">
        <v>0</v>
      </c>
      <c r="F182" s="14" t="n">
        <v>0</v>
      </c>
      <c r="G182" s="14" t="n">
        <v>0</v>
      </c>
      <c r="H182" s="14" t="n">
        <v>0</v>
      </c>
      <c r="I182" s="30" t="s">
        <v>273</v>
      </c>
      <c r="J182" s="30" t="s">
        <v>370</v>
      </c>
    </row>
    <row r="183" customFormat="false" ht="23.85" hidden="false" customHeight="false" outlineLevel="0" collapsed="false">
      <c r="A183" s="22" t="n">
        <v>46280</v>
      </c>
      <c r="B183" s="14" t="s">
        <v>48</v>
      </c>
      <c r="C183" s="14" t="s">
        <v>415</v>
      </c>
      <c r="D183" s="14" t="s">
        <v>122</v>
      </c>
      <c r="E183" s="14" t="n">
        <v>0</v>
      </c>
      <c r="F183" s="14" t="n">
        <v>0</v>
      </c>
      <c r="G183" s="14" t="n">
        <v>0</v>
      </c>
      <c r="H183" s="14" t="n">
        <v>0</v>
      </c>
      <c r="I183" s="30" t="s">
        <v>273</v>
      </c>
      <c r="J183" s="30" t="s">
        <v>370</v>
      </c>
    </row>
    <row r="184" customFormat="false" ht="23.85" hidden="false" customHeight="false" outlineLevel="0" collapsed="false">
      <c r="A184" s="22" t="n">
        <v>46280</v>
      </c>
      <c r="B184" s="14" t="s">
        <v>48</v>
      </c>
      <c r="C184" s="14" t="s">
        <v>416</v>
      </c>
      <c r="D184" s="14" t="s">
        <v>122</v>
      </c>
      <c r="E184" s="14" t="n">
        <v>0</v>
      </c>
      <c r="F184" s="14" t="n">
        <v>0</v>
      </c>
      <c r="G184" s="14" t="n">
        <v>0</v>
      </c>
      <c r="H184" s="14" t="n">
        <v>0</v>
      </c>
      <c r="I184" s="30" t="s">
        <v>273</v>
      </c>
      <c r="J184" s="30" t="s">
        <v>417</v>
      </c>
    </row>
    <row r="185" customFormat="false" ht="23.85" hidden="false" customHeight="false" outlineLevel="0" collapsed="false">
      <c r="A185" s="22" t="n">
        <v>46280</v>
      </c>
      <c r="B185" s="14" t="s">
        <v>48</v>
      </c>
      <c r="C185" s="14" t="s">
        <v>418</v>
      </c>
      <c r="D185" s="14" t="s">
        <v>122</v>
      </c>
      <c r="E185" s="14" t="n">
        <v>0</v>
      </c>
      <c r="F185" s="14" t="n">
        <v>0</v>
      </c>
      <c r="G185" s="14" t="n">
        <v>0</v>
      </c>
      <c r="H185" s="14" t="n">
        <v>0</v>
      </c>
      <c r="I185" s="30" t="s">
        <v>273</v>
      </c>
      <c r="J185" s="30" t="s">
        <v>419</v>
      </c>
    </row>
    <row r="186" customFormat="false" ht="23.85" hidden="false" customHeight="false" outlineLevel="0" collapsed="false">
      <c r="A186" s="22" t="n">
        <v>46280</v>
      </c>
      <c r="B186" s="14" t="s">
        <v>48</v>
      </c>
      <c r="C186" s="14" t="s">
        <v>420</v>
      </c>
      <c r="D186" s="14" t="s">
        <v>122</v>
      </c>
      <c r="E186" s="14" t="n">
        <v>0</v>
      </c>
      <c r="F186" s="14" t="n">
        <v>0</v>
      </c>
      <c r="G186" s="14" t="n">
        <v>0</v>
      </c>
      <c r="H186" s="14" t="n">
        <v>0</v>
      </c>
      <c r="I186" s="30" t="s">
        <v>273</v>
      </c>
      <c r="J186" s="30" t="s">
        <v>421</v>
      </c>
    </row>
    <row r="187" customFormat="false" ht="23.85" hidden="false" customHeight="false" outlineLevel="0" collapsed="false">
      <c r="A187" s="22" t="n">
        <v>46280</v>
      </c>
      <c r="B187" s="14" t="s">
        <v>48</v>
      </c>
      <c r="C187" s="14" t="s">
        <v>422</v>
      </c>
      <c r="D187" s="14" t="s">
        <v>122</v>
      </c>
      <c r="E187" s="14" t="n">
        <v>0</v>
      </c>
      <c r="F187" s="14" t="n">
        <v>0</v>
      </c>
      <c r="G187" s="14" t="n">
        <v>0</v>
      </c>
      <c r="H187" s="14" t="n">
        <v>0</v>
      </c>
      <c r="I187" s="30" t="s">
        <v>273</v>
      </c>
      <c r="J187" s="30" t="s">
        <v>423</v>
      </c>
    </row>
    <row r="188" customFormat="false" ht="23.85" hidden="false" customHeight="false" outlineLevel="0" collapsed="false">
      <c r="A188" s="22" t="n">
        <v>46280</v>
      </c>
      <c r="B188" s="14" t="s">
        <v>48</v>
      </c>
      <c r="C188" s="14" t="s">
        <v>312</v>
      </c>
      <c r="D188" s="14" t="s">
        <v>277</v>
      </c>
      <c r="E188" s="14" t="n">
        <v>0</v>
      </c>
      <c r="F188" s="14" t="n">
        <v>0</v>
      </c>
      <c r="G188" s="14" t="n">
        <v>25</v>
      </c>
      <c r="H188" s="14" t="n">
        <v>0</v>
      </c>
      <c r="I188" s="30" t="s">
        <v>273</v>
      </c>
      <c r="J188" s="30" t="s">
        <v>364</v>
      </c>
    </row>
    <row r="189" customFormat="false" ht="23.85" hidden="false" customHeight="false" outlineLevel="0" collapsed="false">
      <c r="A189" s="22" t="n">
        <v>46280</v>
      </c>
      <c r="B189" s="14" t="s">
        <v>48</v>
      </c>
      <c r="C189" s="14" t="s">
        <v>424</v>
      </c>
      <c r="D189" s="14" t="s">
        <v>122</v>
      </c>
      <c r="E189" s="14" t="n">
        <v>0</v>
      </c>
      <c r="F189" s="14" t="n">
        <v>0</v>
      </c>
      <c r="G189" s="14" t="n">
        <v>0</v>
      </c>
      <c r="H189" s="14" t="n">
        <v>0</v>
      </c>
      <c r="I189" s="30" t="s">
        <v>273</v>
      </c>
      <c r="J189" s="30" t="s">
        <v>396</v>
      </c>
    </row>
    <row r="190" customFormat="false" ht="23.85" hidden="false" customHeight="false" outlineLevel="0" collapsed="false">
      <c r="A190" s="22" t="n">
        <v>46280</v>
      </c>
      <c r="B190" s="14" t="s">
        <v>48</v>
      </c>
      <c r="C190" s="14" t="s">
        <v>308</v>
      </c>
      <c r="D190" s="14" t="s">
        <v>122</v>
      </c>
      <c r="E190" s="14" t="n">
        <v>0</v>
      </c>
      <c r="F190" s="14" t="n">
        <v>0</v>
      </c>
      <c r="G190" s="14" t="n">
        <v>0</v>
      </c>
      <c r="H190" s="14" t="n">
        <v>0</v>
      </c>
      <c r="I190" s="30" t="s">
        <v>273</v>
      </c>
      <c r="J190" s="30" t="s">
        <v>425</v>
      </c>
    </row>
    <row r="191" customFormat="false" ht="23.85" hidden="false" customHeight="false" outlineLevel="0" collapsed="false">
      <c r="A191" s="22" t="n">
        <v>46280</v>
      </c>
      <c r="B191" s="14" t="s">
        <v>48</v>
      </c>
      <c r="C191" s="14" t="s">
        <v>426</v>
      </c>
      <c r="D191" s="14" t="s">
        <v>277</v>
      </c>
      <c r="E191" s="14" t="n">
        <v>0</v>
      </c>
      <c r="F191" s="14" t="n">
        <v>0</v>
      </c>
      <c r="G191" s="14" t="n">
        <v>21</v>
      </c>
      <c r="H191" s="14" t="n">
        <v>0</v>
      </c>
      <c r="I191" s="30" t="s">
        <v>273</v>
      </c>
      <c r="J191" s="30" t="s">
        <v>370</v>
      </c>
    </row>
    <row r="192" customFormat="false" ht="23.85" hidden="false" customHeight="false" outlineLevel="0" collapsed="false">
      <c r="A192" s="22" t="n">
        <v>46280</v>
      </c>
      <c r="B192" s="14" t="s">
        <v>48</v>
      </c>
      <c r="C192" s="14" t="s">
        <v>427</v>
      </c>
      <c r="D192" s="14" t="s">
        <v>277</v>
      </c>
      <c r="E192" s="14" t="n">
        <v>0</v>
      </c>
      <c r="F192" s="14" t="n">
        <v>0</v>
      </c>
      <c r="G192" s="14" t="n">
        <v>5</v>
      </c>
      <c r="H192" s="14" t="n">
        <v>0</v>
      </c>
      <c r="I192" s="30" t="s">
        <v>273</v>
      </c>
      <c r="J192" s="30" t="s">
        <v>396</v>
      </c>
    </row>
    <row r="193" customFormat="false" ht="23.85" hidden="false" customHeight="false" outlineLevel="0" collapsed="false">
      <c r="A193" s="22" t="n">
        <v>46280</v>
      </c>
      <c r="B193" s="14" t="s">
        <v>48</v>
      </c>
      <c r="C193" s="14" t="s">
        <v>428</v>
      </c>
      <c r="D193" s="14" t="s">
        <v>122</v>
      </c>
      <c r="E193" s="14" t="n">
        <v>0</v>
      </c>
      <c r="F193" s="14" t="n">
        <v>0</v>
      </c>
      <c r="G193" s="14" t="n">
        <v>0</v>
      </c>
      <c r="H193" s="14" t="n">
        <v>0</v>
      </c>
      <c r="I193" s="30" t="s">
        <v>273</v>
      </c>
      <c r="J193" s="30" t="s">
        <v>429</v>
      </c>
    </row>
    <row r="194" customFormat="false" ht="23.85" hidden="false" customHeight="false" outlineLevel="0" collapsed="false">
      <c r="A194" s="22" t="n">
        <v>46280</v>
      </c>
      <c r="B194" s="14" t="s">
        <v>48</v>
      </c>
      <c r="C194" s="14" t="s">
        <v>430</v>
      </c>
      <c r="D194" s="14" t="s">
        <v>122</v>
      </c>
      <c r="E194" s="14" t="n">
        <v>0</v>
      </c>
      <c r="F194" s="14" t="n">
        <v>0</v>
      </c>
      <c r="G194" s="14" t="n">
        <v>0</v>
      </c>
      <c r="H194" s="14" t="n">
        <v>0</v>
      </c>
      <c r="I194" s="30" t="s">
        <v>273</v>
      </c>
      <c r="J194" s="30" t="s">
        <v>370</v>
      </c>
    </row>
    <row r="195" customFormat="false" ht="23.85" hidden="false" customHeight="false" outlineLevel="0" collapsed="false">
      <c r="A195" s="22" t="n">
        <v>46280</v>
      </c>
      <c r="B195" s="14" t="s">
        <v>48</v>
      </c>
      <c r="C195" s="14" t="s">
        <v>351</v>
      </c>
      <c r="D195" s="14" t="s">
        <v>122</v>
      </c>
      <c r="E195" s="14" t="n">
        <v>0</v>
      </c>
      <c r="F195" s="14" t="n">
        <v>0</v>
      </c>
      <c r="G195" s="14" t="n">
        <v>0</v>
      </c>
      <c r="H195" s="14" t="n">
        <v>0</v>
      </c>
      <c r="I195" s="30" t="s">
        <v>273</v>
      </c>
      <c r="J195" s="30" t="s">
        <v>431</v>
      </c>
    </row>
    <row r="196" customFormat="false" ht="23.85" hidden="false" customHeight="false" outlineLevel="0" collapsed="false">
      <c r="A196" s="22" t="n">
        <v>46280</v>
      </c>
      <c r="B196" s="14" t="s">
        <v>48</v>
      </c>
      <c r="C196" s="14" t="s">
        <v>432</v>
      </c>
      <c r="D196" s="14" t="s">
        <v>277</v>
      </c>
      <c r="E196" s="14" t="n">
        <v>0</v>
      </c>
      <c r="F196" s="14" t="n">
        <v>0</v>
      </c>
      <c r="G196" s="14" t="n">
        <v>31</v>
      </c>
      <c r="H196" s="14" t="n">
        <v>0</v>
      </c>
      <c r="I196" s="30" t="s">
        <v>273</v>
      </c>
      <c r="J196" s="30" t="s">
        <v>372</v>
      </c>
    </row>
    <row r="197" customFormat="false" ht="23.85" hidden="false" customHeight="false" outlineLevel="0" collapsed="false">
      <c r="A197" s="22" t="n">
        <v>46280</v>
      </c>
      <c r="B197" s="14" t="s">
        <v>48</v>
      </c>
      <c r="C197" s="14" t="s">
        <v>433</v>
      </c>
      <c r="D197" s="14" t="s">
        <v>277</v>
      </c>
      <c r="E197" s="14" t="n">
        <v>0</v>
      </c>
      <c r="F197" s="14" t="n">
        <v>0</v>
      </c>
      <c r="G197" s="14" t="n">
        <v>25</v>
      </c>
      <c r="H197" s="14" t="n">
        <v>0</v>
      </c>
      <c r="I197" s="30" t="s">
        <v>273</v>
      </c>
      <c r="J197" s="30" t="s">
        <v>364</v>
      </c>
    </row>
    <row r="198" customFormat="false" ht="23.85" hidden="false" customHeight="false" outlineLevel="0" collapsed="false">
      <c r="A198" s="22" t="n">
        <v>46280</v>
      </c>
      <c r="B198" s="14" t="s">
        <v>48</v>
      </c>
      <c r="C198" s="14" t="s">
        <v>127</v>
      </c>
      <c r="D198" s="14" t="s">
        <v>122</v>
      </c>
      <c r="E198" s="14" t="n">
        <v>0</v>
      </c>
      <c r="F198" s="14" t="n">
        <v>0</v>
      </c>
      <c r="G198" s="14" t="n">
        <v>0</v>
      </c>
      <c r="H198" s="14" t="n">
        <v>0</v>
      </c>
      <c r="I198" s="30" t="s">
        <v>273</v>
      </c>
      <c r="J198" s="30" t="s">
        <v>434</v>
      </c>
    </row>
    <row r="199" customFormat="false" ht="23.85" hidden="false" customHeight="false" outlineLevel="0" collapsed="false">
      <c r="A199" s="22" t="n">
        <v>46280</v>
      </c>
      <c r="B199" s="14" t="s">
        <v>48</v>
      </c>
      <c r="C199" s="14" t="s">
        <v>435</v>
      </c>
      <c r="D199" s="14" t="s">
        <v>277</v>
      </c>
      <c r="E199" s="14" t="n">
        <v>0</v>
      </c>
      <c r="F199" s="14" t="n">
        <v>0</v>
      </c>
      <c r="G199" s="14" t="n">
        <v>50</v>
      </c>
      <c r="H199" s="14" t="n">
        <v>0</v>
      </c>
      <c r="I199" s="30" t="s">
        <v>273</v>
      </c>
      <c r="J199" s="30" t="s">
        <v>368</v>
      </c>
    </row>
    <row r="200" customFormat="false" ht="23.85" hidden="false" customHeight="false" outlineLevel="0" collapsed="false">
      <c r="A200" s="22" t="n">
        <v>46280</v>
      </c>
      <c r="B200" s="14" t="s">
        <v>48</v>
      </c>
      <c r="C200" s="14" t="s">
        <v>345</v>
      </c>
      <c r="D200" s="14" t="s">
        <v>122</v>
      </c>
      <c r="E200" s="14" t="n">
        <v>0</v>
      </c>
      <c r="F200" s="14" t="n">
        <v>0</v>
      </c>
      <c r="G200" s="14" t="n">
        <v>0</v>
      </c>
      <c r="H200" s="14" t="n">
        <v>0</v>
      </c>
      <c r="I200" s="30" t="s">
        <v>273</v>
      </c>
      <c r="J200" s="30" t="s">
        <v>436</v>
      </c>
    </row>
    <row r="201" customFormat="false" ht="23.85" hidden="false" customHeight="false" outlineLevel="0" collapsed="false">
      <c r="A201" s="22" t="n">
        <v>46280</v>
      </c>
      <c r="B201" s="14" t="s">
        <v>48</v>
      </c>
      <c r="C201" s="14" t="s">
        <v>437</v>
      </c>
      <c r="D201" s="14" t="s">
        <v>122</v>
      </c>
      <c r="E201" s="14" t="n">
        <v>0</v>
      </c>
      <c r="F201" s="14" t="n">
        <v>0</v>
      </c>
      <c r="G201" s="14" t="n">
        <v>0</v>
      </c>
      <c r="H201" s="14" t="n">
        <v>0</v>
      </c>
      <c r="I201" s="30" t="s">
        <v>273</v>
      </c>
      <c r="J201" s="30" t="s">
        <v>438</v>
      </c>
    </row>
    <row r="202" customFormat="false" ht="23.85" hidden="false" customHeight="false" outlineLevel="0" collapsed="false">
      <c r="A202" s="22" t="n">
        <v>46280</v>
      </c>
      <c r="B202" s="14" t="s">
        <v>48</v>
      </c>
      <c r="C202" s="14" t="s">
        <v>439</v>
      </c>
      <c r="D202" s="14" t="s">
        <v>122</v>
      </c>
      <c r="E202" s="14" t="n">
        <v>0</v>
      </c>
      <c r="F202" s="14" t="n">
        <v>0</v>
      </c>
      <c r="G202" s="14" t="n">
        <v>0</v>
      </c>
      <c r="H202" s="14" t="n">
        <v>0</v>
      </c>
      <c r="I202" s="30" t="s">
        <v>273</v>
      </c>
      <c r="J202" s="30" t="s">
        <v>440</v>
      </c>
    </row>
    <row r="203" customFormat="false" ht="23.85" hidden="false" customHeight="false" outlineLevel="0" collapsed="false">
      <c r="A203" s="22" t="n">
        <v>46280</v>
      </c>
      <c r="B203" s="14" t="s">
        <v>48</v>
      </c>
      <c r="C203" s="14" t="s">
        <v>441</v>
      </c>
      <c r="D203" s="14" t="s">
        <v>122</v>
      </c>
      <c r="E203" s="14" t="n">
        <v>0</v>
      </c>
      <c r="F203" s="14" t="n">
        <v>0</v>
      </c>
      <c r="G203" s="14" t="n">
        <v>0</v>
      </c>
      <c r="H203" s="14" t="n">
        <v>0</v>
      </c>
      <c r="I203" s="30" t="s">
        <v>273</v>
      </c>
      <c r="J203" s="30" t="s">
        <v>442</v>
      </c>
    </row>
    <row r="204" customFormat="false" ht="23.85" hidden="false" customHeight="false" outlineLevel="0" collapsed="false">
      <c r="A204" s="22" t="n">
        <v>46280</v>
      </c>
      <c r="B204" s="14" t="s">
        <v>48</v>
      </c>
      <c r="C204" s="14" t="s">
        <v>443</v>
      </c>
      <c r="D204" s="14" t="s">
        <v>122</v>
      </c>
      <c r="E204" s="14" t="n">
        <v>0</v>
      </c>
      <c r="F204" s="14" t="n">
        <v>0</v>
      </c>
      <c r="G204" s="14" t="n">
        <v>0</v>
      </c>
      <c r="H204" s="14" t="n">
        <v>0</v>
      </c>
      <c r="I204" s="30" t="s">
        <v>273</v>
      </c>
      <c r="J204" s="30" t="s">
        <v>444</v>
      </c>
    </row>
    <row r="205" customFormat="false" ht="23.85" hidden="false" customHeight="false" outlineLevel="0" collapsed="false">
      <c r="A205" s="22" t="n">
        <v>46280</v>
      </c>
      <c r="B205" s="14" t="s">
        <v>48</v>
      </c>
      <c r="C205" s="14" t="s">
        <v>445</v>
      </c>
      <c r="D205" s="14" t="s">
        <v>122</v>
      </c>
      <c r="E205" s="14" t="n">
        <v>0</v>
      </c>
      <c r="F205" s="14" t="n">
        <v>0</v>
      </c>
      <c r="G205" s="14" t="n">
        <v>0</v>
      </c>
      <c r="H205" s="14" t="n">
        <v>0</v>
      </c>
      <c r="I205" s="30" t="s">
        <v>273</v>
      </c>
      <c r="J205" s="30" t="s">
        <v>370</v>
      </c>
    </row>
    <row r="206" customFormat="false" ht="23.85" hidden="false" customHeight="false" outlineLevel="0" collapsed="false">
      <c r="A206" s="22" t="n">
        <v>46280</v>
      </c>
      <c r="B206" s="14" t="s">
        <v>48</v>
      </c>
      <c r="C206" s="14" t="s">
        <v>446</v>
      </c>
      <c r="D206" s="14" t="s">
        <v>122</v>
      </c>
      <c r="E206" s="14" t="n">
        <v>0</v>
      </c>
      <c r="F206" s="14" t="n">
        <v>0</v>
      </c>
      <c r="G206" s="14" t="n">
        <v>0</v>
      </c>
      <c r="H206" s="14" t="n">
        <v>0</v>
      </c>
      <c r="I206" s="30" t="s">
        <v>273</v>
      </c>
      <c r="J206" s="30" t="s">
        <v>447</v>
      </c>
    </row>
    <row r="207" customFormat="false" ht="23.85" hidden="false" customHeight="false" outlineLevel="0" collapsed="false">
      <c r="A207" s="22" t="n">
        <v>46280</v>
      </c>
      <c r="B207" s="14" t="s">
        <v>48</v>
      </c>
      <c r="C207" s="14" t="s">
        <v>448</v>
      </c>
      <c r="D207" s="14" t="s">
        <v>122</v>
      </c>
      <c r="E207" s="14" t="n">
        <v>0</v>
      </c>
      <c r="F207" s="14" t="n">
        <v>0</v>
      </c>
      <c r="G207" s="14" t="n">
        <v>0</v>
      </c>
      <c r="H207" s="14" t="n">
        <v>0</v>
      </c>
      <c r="I207" s="30" t="s">
        <v>273</v>
      </c>
      <c r="J207" s="30" t="s">
        <v>449</v>
      </c>
    </row>
    <row r="208" customFormat="false" ht="23.85" hidden="false" customHeight="false" outlineLevel="0" collapsed="false">
      <c r="A208" s="22" t="n">
        <v>46280</v>
      </c>
      <c r="B208" s="14" t="s">
        <v>48</v>
      </c>
      <c r="C208" s="14" t="s">
        <v>450</v>
      </c>
      <c r="D208" s="14" t="s">
        <v>122</v>
      </c>
      <c r="E208" s="14" t="n">
        <v>0</v>
      </c>
      <c r="F208" s="14" t="n">
        <v>0</v>
      </c>
      <c r="G208" s="14" t="n">
        <v>0</v>
      </c>
      <c r="H208" s="14" t="n">
        <v>0</v>
      </c>
      <c r="I208" s="30" t="s">
        <v>273</v>
      </c>
      <c r="J208" s="30" t="s">
        <v>370</v>
      </c>
    </row>
    <row r="209" customFormat="false" ht="23.85" hidden="false" customHeight="false" outlineLevel="0" collapsed="false">
      <c r="A209" s="22" t="n">
        <v>46280</v>
      </c>
      <c r="B209" s="14" t="s">
        <v>48</v>
      </c>
      <c r="C209" s="14" t="s">
        <v>451</v>
      </c>
      <c r="D209" s="14" t="s">
        <v>277</v>
      </c>
      <c r="E209" s="14" t="n">
        <v>0</v>
      </c>
      <c r="F209" s="14" t="n">
        <v>0</v>
      </c>
      <c r="G209" s="14" t="n">
        <v>33</v>
      </c>
      <c r="H209" s="14" t="n">
        <v>0</v>
      </c>
      <c r="I209" s="30" t="s">
        <v>273</v>
      </c>
      <c r="J209" s="30" t="s">
        <v>452</v>
      </c>
    </row>
    <row r="210" customFormat="false" ht="23.85" hidden="false" customHeight="false" outlineLevel="0" collapsed="false">
      <c r="A210" s="22" t="n">
        <v>46280</v>
      </c>
      <c r="B210" s="14" t="s">
        <v>48</v>
      </c>
      <c r="C210" s="14" t="s">
        <v>453</v>
      </c>
      <c r="D210" s="14" t="s">
        <v>277</v>
      </c>
      <c r="E210" s="14" t="n">
        <v>0</v>
      </c>
      <c r="F210" s="14" t="n">
        <v>0</v>
      </c>
      <c r="G210" s="14" t="n">
        <v>13</v>
      </c>
      <c r="H210" s="14" t="n">
        <v>0</v>
      </c>
      <c r="I210" s="30" t="s">
        <v>273</v>
      </c>
      <c r="J210" s="30" t="s">
        <v>454</v>
      </c>
    </row>
    <row r="211" customFormat="false" ht="23.85" hidden="false" customHeight="false" outlineLevel="0" collapsed="false">
      <c r="A211" s="22" t="n">
        <v>46280</v>
      </c>
      <c r="B211" s="14" t="s">
        <v>48</v>
      </c>
      <c r="C211" s="14" t="s">
        <v>455</v>
      </c>
      <c r="D211" s="14" t="s">
        <v>277</v>
      </c>
      <c r="E211" s="14" t="n">
        <v>0</v>
      </c>
      <c r="F211" s="14" t="n">
        <v>0</v>
      </c>
      <c r="G211" s="14" t="n">
        <v>24</v>
      </c>
      <c r="H211" s="14" t="n">
        <v>0</v>
      </c>
      <c r="I211" s="30" t="s">
        <v>273</v>
      </c>
      <c r="J211" s="30" t="s">
        <v>456</v>
      </c>
    </row>
    <row r="212" customFormat="false" ht="23.85" hidden="false" customHeight="false" outlineLevel="0" collapsed="false">
      <c r="A212" s="22" t="n">
        <v>46280</v>
      </c>
      <c r="B212" s="14" t="s">
        <v>48</v>
      </c>
      <c r="C212" s="14" t="s">
        <v>457</v>
      </c>
      <c r="D212" s="14" t="s">
        <v>122</v>
      </c>
      <c r="E212" s="14" t="n">
        <v>0</v>
      </c>
      <c r="F212" s="14" t="n">
        <v>0</v>
      </c>
      <c r="G212" s="14" t="n">
        <v>0</v>
      </c>
      <c r="H212" s="14" t="n">
        <v>0</v>
      </c>
      <c r="I212" s="30" t="s">
        <v>273</v>
      </c>
      <c r="J212" s="30" t="s">
        <v>388</v>
      </c>
    </row>
    <row r="213" customFormat="false" ht="23.85" hidden="false" customHeight="false" outlineLevel="0" collapsed="false">
      <c r="A213" s="22" t="n">
        <v>46280</v>
      </c>
      <c r="B213" s="14" t="s">
        <v>48</v>
      </c>
      <c r="C213" s="14" t="s">
        <v>458</v>
      </c>
      <c r="D213" s="14" t="s">
        <v>122</v>
      </c>
      <c r="E213" s="14" t="n">
        <v>0</v>
      </c>
      <c r="F213" s="14" t="n">
        <v>0</v>
      </c>
      <c r="G213" s="14" t="n">
        <v>0</v>
      </c>
      <c r="H213" s="14" t="n">
        <v>0</v>
      </c>
      <c r="I213" s="30" t="s">
        <v>273</v>
      </c>
      <c r="J213" s="30" t="s">
        <v>386</v>
      </c>
    </row>
    <row r="214" customFormat="false" ht="23.85" hidden="false" customHeight="false" outlineLevel="0" collapsed="false">
      <c r="A214" s="22" t="n">
        <v>46280</v>
      </c>
      <c r="B214" s="14" t="s">
        <v>48</v>
      </c>
      <c r="C214" s="14" t="s">
        <v>459</v>
      </c>
      <c r="D214" s="14" t="s">
        <v>122</v>
      </c>
      <c r="E214" s="14" t="n">
        <v>0</v>
      </c>
      <c r="F214" s="14" t="n">
        <v>0</v>
      </c>
      <c r="G214" s="14" t="n">
        <v>0</v>
      </c>
      <c r="H214" s="14" t="n">
        <v>0</v>
      </c>
      <c r="I214" s="30" t="s">
        <v>273</v>
      </c>
      <c r="J214" s="30" t="s">
        <v>368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24" t="s">
        <v>460</v>
      </c>
      <c r="B1" s="24"/>
      <c r="C1" s="24"/>
      <c r="D1" s="24"/>
      <c r="E1" s="24"/>
      <c r="F1" s="24"/>
      <c r="G1" s="24"/>
      <c r="H1" s="24"/>
    </row>
    <row r="3" customFormat="false" ht="30" hidden="false" customHeight="true" outlineLevel="0" collapsed="false">
      <c r="A3" s="13" t="s">
        <v>21</v>
      </c>
      <c r="B3" s="13" t="s">
        <v>115</v>
      </c>
      <c r="C3" s="13" t="s">
        <v>461</v>
      </c>
      <c r="D3" s="13" t="s">
        <v>462</v>
      </c>
      <c r="E3" s="13" t="s">
        <v>463</v>
      </c>
      <c r="F3" s="13" t="s">
        <v>464</v>
      </c>
      <c r="G3" s="13" t="s">
        <v>465</v>
      </c>
      <c r="H3" s="13" t="s">
        <v>466</v>
      </c>
    </row>
    <row r="4" customFormat="false" ht="15" hidden="false" customHeight="false" outlineLevel="0" collapsed="false">
      <c r="A4" s="31" t="s">
        <v>80</v>
      </c>
      <c r="B4" s="31" t="s">
        <v>121</v>
      </c>
      <c r="C4" s="14" t="n">
        <f aca="false">COUNTIFS('Recruiter Activity'!$B$4:$B$804,A4,'Recruiter Activity'!$C$4:$C$804,B4)</f>
        <v>1</v>
      </c>
      <c r="D4" s="14" t="n">
        <f aca="false">SUMIFS('Recruiter Activity'!$E$4:$E$804,'Recruiter Activity'!$B$4:$B$804,A4,'Recruiter Activity'!$C$4:$C$804,B4)</f>
        <v>0</v>
      </c>
      <c r="E4" s="14" t="n">
        <f aca="false">SUMIFS('Recruiter Activity'!$F$4:$F$804,'Recruiter Activity'!$B$4:$B$804,A4,'Recruiter Activity'!$C$4:$C$804,B4)</f>
        <v>0</v>
      </c>
      <c r="F4" s="14" t="n">
        <f aca="false">SUMIFS('Recruiter Activity'!$G$4:$G$804,'Recruiter Activity'!$B$4:$B$804,A4,'Recruiter Activity'!$C$4:$C$804,B4)</f>
        <v>0</v>
      </c>
      <c r="G4" s="14" t="n">
        <f aca="false">SUMIFS('Recruiter Activity'!$H$4:$H$804,'Recruiter Activity'!$B$4:$B$804,A4,'Recruiter Activity'!$C$4:$C$804,B4)</f>
        <v>0</v>
      </c>
      <c r="H4" s="16" t="str">
        <f aca="false">IFERROR(G4/F4,"")</f>
        <v/>
      </c>
    </row>
    <row r="5" customFormat="false" ht="15" hidden="false" customHeight="false" outlineLevel="0" collapsed="false">
      <c r="A5" s="31" t="s">
        <v>80</v>
      </c>
      <c r="B5" s="31" t="s">
        <v>125</v>
      </c>
      <c r="C5" s="14" t="n">
        <f aca="false">COUNTIFS('Recruiter Activity'!$B$4:$B$804,A5,'Recruiter Activity'!$C$4:$C$804,B5)</f>
        <v>1</v>
      </c>
      <c r="D5" s="14" t="n">
        <f aca="false">SUMIFS('Recruiter Activity'!$E$4:$E$804,'Recruiter Activity'!$B$4:$B$804,A5,'Recruiter Activity'!$C$4:$C$804,B5)</f>
        <v>0</v>
      </c>
      <c r="E5" s="14" t="n">
        <f aca="false">SUMIFS('Recruiter Activity'!$F$4:$F$804,'Recruiter Activity'!$B$4:$B$804,A5,'Recruiter Activity'!$C$4:$C$804,B5)</f>
        <v>0</v>
      </c>
      <c r="F5" s="14" t="n">
        <f aca="false">SUMIFS('Recruiter Activity'!$G$4:$G$804,'Recruiter Activity'!$B$4:$B$804,A5,'Recruiter Activity'!$C$4:$C$804,B5)</f>
        <v>0</v>
      </c>
      <c r="G5" s="14" t="n">
        <f aca="false">SUMIFS('Recruiter Activity'!$H$4:$H$804,'Recruiter Activity'!$B$4:$B$804,A5,'Recruiter Activity'!$C$4:$C$804,B5)</f>
        <v>0</v>
      </c>
      <c r="H5" s="16" t="str">
        <f aca="false">IFERROR(G5/F5,"")</f>
        <v/>
      </c>
    </row>
    <row r="6" customFormat="false" ht="15" hidden="false" customHeight="false" outlineLevel="0" collapsed="false">
      <c r="A6" s="31" t="s">
        <v>80</v>
      </c>
      <c r="B6" s="31" t="s">
        <v>127</v>
      </c>
      <c r="C6" s="14" t="n">
        <f aca="false">COUNTIFS('Recruiter Activity'!$B$4:$B$804,A6,'Recruiter Activity'!$C$4:$C$804,B6)</f>
        <v>1</v>
      </c>
      <c r="D6" s="14" t="n">
        <f aca="false">SUMIFS('Recruiter Activity'!$E$4:$E$804,'Recruiter Activity'!$B$4:$B$804,A6,'Recruiter Activity'!$C$4:$C$804,B6)</f>
        <v>0</v>
      </c>
      <c r="E6" s="14" t="n">
        <f aca="false">SUMIFS('Recruiter Activity'!$F$4:$F$804,'Recruiter Activity'!$B$4:$B$804,A6,'Recruiter Activity'!$C$4:$C$804,B6)</f>
        <v>0</v>
      </c>
      <c r="F6" s="14" t="n">
        <f aca="false">SUMIFS('Recruiter Activity'!$G$4:$G$804,'Recruiter Activity'!$B$4:$B$804,A6,'Recruiter Activity'!$C$4:$C$804,B6)</f>
        <v>0</v>
      </c>
      <c r="G6" s="14" t="n">
        <f aca="false">SUMIFS('Recruiter Activity'!$H$4:$H$804,'Recruiter Activity'!$B$4:$B$804,A6,'Recruiter Activity'!$C$4:$C$804,B6)</f>
        <v>0</v>
      </c>
      <c r="H6" s="16" t="str">
        <f aca="false">IFERROR(G6/F6,"")</f>
        <v/>
      </c>
    </row>
    <row r="7" customFormat="false" ht="23.85" hidden="false" customHeight="false" outlineLevel="0" collapsed="false">
      <c r="A7" s="31" t="s">
        <v>57</v>
      </c>
      <c r="B7" s="31" t="s">
        <v>129</v>
      </c>
      <c r="C7" s="14" t="n">
        <f aca="false">COUNTIFS('Recruiter Activity'!$B$4:$B$804,A7,'Recruiter Activity'!$C$4:$C$804,B7)</f>
        <v>1</v>
      </c>
      <c r="D7" s="14" t="n">
        <f aca="false">SUMIFS('Recruiter Activity'!$E$4:$E$804,'Recruiter Activity'!$B$4:$B$804,A7,'Recruiter Activity'!$C$4:$C$804,B7)</f>
        <v>0</v>
      </c>
      <c r="E7" s="14" t="n">
        <f aca="false">SUMIFS('Recruiter Activity'!$F$4:$F$804,'Recruiter Activity'!$B$4:$B$804,A7,'Recruiter Activity'!$C$4:$C$804,B7)</f>
        <v>0</v>
      </c>
      <c r="F7" s="14" t="n">
        <f aca="false">SUMIFS('Recruiter Activity'!$G$4:$G$804,'Recruiter Activity'!$B$4:$B$804,A7,'Recruiter Activity'!$C$4:$C$804,B7)</f>
        <v>0</v>
      </c>
      <c r="G7" s="14" t="n">
        <f aca="false">SUMIFS('Recruiter Activity'!$H$4:$H$804,'Recruiter Activity'!$B$4:$B$804,A7,'Recruiter Activity'!$C$4:$C$804,B7)</f>
        <v>0</v>
      </c>
      <c r="H7" s="16" t="str">
        <f aca="false">IFERROR(G7/F7,"")</f>
        <v/>
      </c>
    </row>
    <row r="8" customFormat="false" ht="15" hidden="false" customHeight="false" outlineLevel="0" collapsed="false">
      <c r="A8" s="31" t="s">
        <v>57</v>
      </c>
      <c r="B8" s="31" t="s">
        <v>131</v>
      </c>
      <c r="C8" s="14" t="n">
        <f aca="false">COUNTIFS('Recruiter Activity'!$B$4:$B$804,A8,'Recruiter Activity'!$C$4:$C$804,B8)</f>
        <v>1</v>
      </c>
      <c r="D8" s="14" t="n">
        <f aca="false">SUMIFS('Recruiter Activity'!$E$4:$E$804,'Recruiter Activity'!$B$4:$B$804,A8,'Recruiter Activity'!$C$4:$C$804,B8)</f>
        <v>0</v>
      </c>
      <c r="E8" s="14" t="n">
        <f aca="false">SUMIFS('Recruiter Activity'!$F$4:$F$804,'Recruiter Activity'!$B$4:$B$804,A8,'Recruiter Activity'!$C$4:$C$804,B8)</f>
        <v>0</v>
      </c>
      <c r="F8" s="14" t="n">
        <f aca="false">SUMIFS('Recruiter Activity'!$G$4:$G$804,'Recruiter Activity'!$B$4:$B$804,A8,'Recruiter Activity'!$C$4:$C$804,B8)</f>
        <v>0</v>
      </c>
      <c r="G8" s="14" t="n">
        <f aca="false">SUMIFS('Recruiter Activity'!$H$4:$H$804,'Recruiter Activity'!$B$4:$B$804,A8,'Recruiter Activity'!$C$4:$C$804,B8)</f>
        <v>0</v>
      </c>
      <c r="H8" s="16" t="str">
        <f aca="false">IFERROR(G8/F8,"")</f>
        <v/>
      </c>
    </row>
    <row r="9" customFormat="false" ht="15" hidden="false" customHeight="false" outlineLevel="0" collapsed="false">
      <c r="A9" s="31" t="s">
        <v>57</v>
      </c>
      <c r="B9" s="31" t="s">
        <v>132</v>
      </c>
      <c r="C9" s="14" t="n">
        <f aca="false">COUNTIFS('Recruiter Activity'!$B$4:$B$804,A9,'Recruiter Activity'!$C$4:$C$804,B9)</f>
        <v>1</v>
      </c>
      <c r="D9" s="14" t="n">
        <f aca="false">SUMIFS('Recruiter Activity'!$E$4:$E$804,'Recruiter Activity'!$B$4:$B$804,A9,'Recruiter Activity'!$C$4:$C$804,B9)</f>
        <v>0</v>
      </c>
      <c r="E9" s="14" t="n">
        <f aca="false">SUMIFS('Recruiter Activity'!$F$4:$F$804,'Recruiter Activity'!$B$4:$B$804,A9,'Recruiter Activity'!$C$4:$C$804,B9)</f>
        <v>0</v>
      </c>
      <c r="F9" s="14" t="n">
        <f aca="false">SUMIFS('Recruiter Activity'!$G$4:$G$804,'Recruiter Activity'!$B$4:$B$804,A9,'Recruiter Activity'!$C$4:$C$804,B9)</f>
        <v>0</v>
      </c>
      <c r="G9" s="14" t="n">
        <f aca="false">SUMIFS('Recruiter Activity'!$H$4:$H$804,'Recruiter Activity'!$B$4:$B$804,A9,'Recruiter Activity'!$C$4:$C$804,B9)</f>
        <v>0</v>
      </c>
      <c r="H9" s="16" t="str">
        <f aca="false">IFERROR(G9/F9,"")</f>
        <v/>
      </c>
    </row>
    <row r="10" customFormat="false" ht="23.85" hidden="false" customHeight="false" outlineLevel="0" collapsed="false">
      <c r="A10" s="31" t="s">
        <v>57</v>
      </c>
      <c r="B10" s="31" t="s">
        <v>134</v>
      </c>
      <c r="C10" s="14" t="n">
        <f aca="false">COUNTIFS('Recruiter Activity'!$B$4:$B$804,A10,'Recruiter Activity'!$C$4:$C$804,B10)</f>
        <v>1</v>
      </c>
      <c r="D10" s="14" t="n">
        <f aca="false">SUMIFS('Recruiter Activity'!$E$4:$E$804,'Recruiter Activity'!$B$4:$B$804,A10,'Recruiter Activity'!$C$4:$C$804,B10)</f>
        <v>0</v>
      </c>
      <c r="E10" s="14" t="n">
        <f aca="false">SUMIFS('Recruiter Activity'!$F$4:$F$804,'Recruiter Activity'!$B$4:$B$804,A10,'Recruiter Activity'!$C$4:$C$804,B10)</f>
        <v>0</v>
      </c>
      <c r="F10" s="14" t="n">
        <f aca="false">SUMIFS('Recruiter Activity'!$G$4:$G$804,'Recruiter Activity'!$B$4:$B$804,A10,'Recruiter Activity'!$C$4:$C$804,B10)</f>
        <v>0</v>
      </c>
      <c r="G10" s="14" t="n">
        <f aca="false">SUMIFS('Recruiter Activity'!$H$4:$H$804,'Recruiter Activity'!$B$4:$B$804,A10,'Recruiter Activity'!$C$4:$C$804,B10)</f>
        <v>0</v>
      </c>
      <c r="H10" s="16" t="str">
        <f aca="false">IFERROR(G10/F10,"")</f>
        <v/>
      </c>
    </row>
    <row r="11" customFormat="false" ht="15" hidden="false" customHeight="false" outlineLevel="0" collapsed="false">
      <c r="A11" s="31" t="s">
        <v>65</v>
      </c>
      <c r="B11" s="31" t="s">
        <v>136</v>
      </c>
      <c r="C11" s="14" t="n">
        <f aca="false">COUNTIFS('Recruiter Activity'!$B$4:$B$804,A11,'Recruiter Activity'!$C$4:$C$804,B11)</f>
        <v>1</v>
      </c>
      <c r="D11" s="14" t="n">
        <f aca="false">SUMIFS('Recruiter Activity'!$E$4:$E$804,'Recruiter Activity'!$B$4:$B$804,A11,'Recruiter Activity'!$C$4:$C$804,B11)</f>
        <v>0</v>
      </c>
      <c r="E11" s="14" t="n">
        <f aca="false">SUMIFS('Recruiter Activity'!$F$4:$F$804,'Recruiter Activity'!$B$4:$B$804,A11,'Recruiter Activity'!$C$4:$C$804,B11)</f>
        <v>0</v>
      </c>
      <c r="F11" s="14" t="n">
        <f aca="false">SUMIFS('Recruiter Activity'!$G$4:$G$804,'Recruiter Activity'!$B$4:$B$804,A11,'Recruiter Activity'!$C$4:$C$804,B11)</f>
        <v>0</v>
      </c>
      <c r="G11" s="14" t="n">
        <f aca="false">SUMIFS('Recruiter Activity'!$H$4:$H$804,'Recruiter Activity'!$B$4:$B$804,A11,'Recruiter Activity'!$C$4:$C$804,B11)</f>
        <v>0</v>
      </c>
      <c r="H11" s="16" t="str">
        <f aca="false">IFERROR(G11/F11,"")</f>
        <v/>
      </c>
    </row>
    <row r="12" customFormat="false" ht="23.85" hidden="false" customHeight="false" outlineLevel="0" collapsed="false">
      <c r="A12" s="31" t="s">
        <v>65</v>
      </c>
      <c r="B12" s="31" t="s">
        <v>138</v>
      </c>
      <c r="C12" s="14" t="n">
        <f aca="false">COUNTIFS('Recruiter Activity'!$B$4:$B$804,A12,'Recruiter Activity'!$C$4:$C$804,B12)</f>
        <v>1</v>
      </c>
      <c r="D12" s="14" t="n">
        <f aca="false">SUMIFS('Recruiter Activity'!$E$4:$E$804,'Recruiter Activity'!$B$4:$B$804,A12,'Recruiter Activity'!$C$4:$C$804,B12)</f>
        <v>0</v>
      </c>
      <c r="E12" s="14" t="n">
        <f aca="false">SUMIFS('Recruiter Activity'!$F$4:$F$804,'Recruiter Activity'!$B$4:$B$804,A12,'Recruiter Activity'!$C$4:$C$804,B12)</f>
        <v>0</v>
      </c>
      <c r="F12" s="14" t="n">
        <f aca="false">SUMIFS('Recruiter Activity'!$G$4:$G$804,'Recruiter Activity'!$B$4:$B$804,A12,'Recruiter Activity'!$C$4:$C$804,B12)</f>
        <v>0</v>
      </c>
      <c r="G12" s="14" t="n">
        <f aca="false">SUMIFS('Recruiter Activity'!$H$4:$H$804,'Recruiter Activity'!$B$4:$B$804,A12,'Recruiter Activity'!$C$4:$C$804,B12)</f>
        <v>0</v>
      </c>
      <c r="H12" s="16" t="str">
        <f aca="false">IFERROR(G12/F12,"")</f>
        <v/>
      </c>
    </row>
    <row r="13" customFormat="false" ht="23.85" hidden="false" customHeight="false" outlineLevel="0" collapsed="false">
      <c r="A13" s="31" t="s">
        <v>65</v>
      </c>
      <c r="B13" s="31" t="s">
        <v>140</v>
      </c>
      <c r="C13" s="14" t="n">
        <f aca="false">COUNTIFS('Recruiter Activity'!$B$4:$B$804,A13,'Recruiter Activity'!$C$4:$C$804,B13)</f>
        <v>1</v>
      </c>
      <c r="D13" s="14" t="n">
        <f aca="false">SUMIFS('Recruiter Activity'!$E$4:$E$804,'Recruiter Activity'!$B$4:$B$804,A13,'Recruiter Activity'!$C$4:$C$804,B13)</f>
        <v>0</v>
      </c>
      <c r="E13" s="14" t="n">
        <f aca="false">SUMIFS('Recruiter Activity'!$F$4:$F$804,'Recruiter Activity'!$B$4:$B$804,A13,'Recruiter Activity'!$C$4:$C$804,B13)</f>
        <v>0</v>
      </c>
      <c r="F13" s="14" t="n">
        <f aca="false">SUMIFS('Recruiter Activity'!$G$4:$G$804,'Recruiter Activity'!$B$4:$B$804,A13,'Recruiter Activity'!$C$4:$C$804,B13)</f>
        <v>0</v>
      </c>
      <c r="G13" s="14" t="n">
        <f aca="false">SUMIFS('Recruiter Activity'!$H$4:$H$804,'Recruiter Activity'!$B$4:$B$804,A13,'Recruiter Activity'!$C$4:$C$804,B13)</f>
        <v>0</v>
      </c>
      <c r="H13" s="16" t="str">
        <f aca="false">IFERROR(G13/F13,"")</f>
        <v/>
      </c>
    </row>
    <row r="14" customFormat="false" ht="23.85" hidden="false" customHeight="false" outlineLevel="0" collapsed="false">
      <c r="A14" s="31" t="s">
        <v>65</v>
      </c>
      <c r="B14" s="31" t="s">
        <v>142</v>
      </c>
      <c r="C14" s="14" t="n">
        <f aca="false">COUNTIFS('Recruiter Activity'!$B$4:$B$804,A14,'Recruiter Activity'!$C$4:$C$804,B14)</f>
        <v>1</v>
      </c>
      <c r="D14" s="14" t="n">
        <f aca="false">SUMIFS('Recruiter Activity'!$E$4:$E$804,'Recruiter Activity'!$B$4:$B$804,A14,'Recruiter Activity'!$C$4:$C$804,B14)</f>
        <v>0</v>
      </c>
      <c r="E14" s="14" t="n">
        <f aca="false">SUMIFS('Recruiter Activity'!$F$4:$F$804,'Recruiter Activity'!$B$4:$B$804,A14,'Recruiter Activity'!$C$4:$C$804,B14)</f>
        <v>0</v>
      </c>
      <c r="F14" s="14" t="n">
        <f aca="false">SUMIFS('Recruiter Activity'!$G$4:$G$804,'Recruiter Activity'!$B$4:$B$804,A14,'Recruiter Activity'!$C$4:$C$804,B14)</f>
        <v>0</v>
      </c>
      <c r="G14" s="14" t="n">
        <f aca="false">SUMIFS('Recruiter Activity'!$H$4:$H$804,'Recruiter Activity'!$B$4:$B$804,A14,'Recruiter Activity'!$C$4:$C$804,B14)</f>
        <v>0</v>
      </c>
      <c r="H14" s="16" t="str">
        <f aca="false">IFERROR(G14/F14,"")</f>
        <v/>
      </c>
    </row>
    <row r="15" customFormat="false" ht="23.85" hidden="false" customHeight="false" outlineLevel="0" collapsed="false">
      <c r="A15" s="31" t="s">
        <v>65</v>
      </c>
      <c r="B15" s="31" t="s">
        <v>144</v>
      </c>
      <c r="C15" s="14" t="n">
        <f aca="false">COUNTIFS('Recruiter Activity'!$B$4:$B$804,A15,'Recruiter Activity'!$C$4:$C$804,B15)</f>
        <v>1</v>
      </c>
      <c r="D15" s="14" t="n">
        <f aca="false">SUMIFS('Recruiter Activity'!$E$4:$E$804,'Recruiter Activity'!$B$4:$B$804,A15,'Recruiter Activity'!$C$4:$C$804,B15)</f>
        <v>0</v>
      </c>
      <c r="E15" s="14" t="n">
        <f aca="false">SUMIFS('Recruiter Activity'!$F$4:$F$804,'Recruiter Activity'!$B$4:$B$804,A15,'Recruiter Activity'!$C$4:$C$804,B15)</f>
        <v>0</v>
      </c>
      <c r="F15" s="14" t="n">
        <f aca="false">SUMIFS('Recruiter Activity'!$G$4:$G$804,'Recruiter Activity'!$B$4:$B$804,A15,'Recruiter Activity'!$C$4:$C$804,B15)</f>
        <v>0</v>
      </c>
      <c r="G15" s="14" t="n">
        <f aca="false">SUMIFS('Recruiter Activity'!$H$4:$H$804,'Recruiter Activity'!$B$4:$B$804,A15,'Recruiter Activity'!$C$4:$C$804,B15)</f>
        <v>0</v>
      </c>
      <c r="H15" s="16" t="str">
        <f aca="false">IFERROR(G15/F15,"")</f>
        <v/>
      </c>
    </row>
    <row r="16" customFormat="false" ht="23.85" hidden="false" customHeight="false" outlineLevel="0" collapsed="false">
      <c r="A16" s="31" t="s">
        <v>65</v>
      </c>
      <c r="B16" s="31" t="s">
        <v>146</v>
      </c>
      <c r="C16" s="14" t="n">
        <f aca="false">COUNTIFS('Recruiter Activity'!$B$4:$B$804,A16,'Recruiter Activity'!$C$4:$C$804,B16)</f>
        <v>1</v>
      </c>
      <c r="D16" s="14" t="n">
        <f aca="false">SUMIFS('Recruiter Activity'!$E$4:$E$804,'Recruiter Activity'!$B$4:$B$804,A16,'Recruiter Activity'!$C$4:$C$804,B16)</f>
        <v>0</v>
      </c>
      <c r="E16" s="14" t="n">
        <f aca="false">SUMIFS('Recruiter Activity'!$F$4:$F$804,'Recruiter Activity'!$B$4:$B$804,A16,'Recruiter Activity'!$C$4:$C$804,B16)</f>
        <v>0</v>
      </c>
      <c r="F16" s="14" t="n">
        <f aca="false">SUMIFS('Recruiter Activity'!$G$4:$G$804,'Recruiter Activity'!$B$4:$B$804,A16,'Recruiter Activity'!$C$4:$C$804,B16)</f>
        <v>0</v>
      </c>
      <c r="G16" s="14" t="n">
        <f aca="false">SUMIFS('Recruiter Activity'!$H$4:$H$804,'Recruiter Activity'!$B$4:$B$804,A16,'Recruiter Activity'!$C$4:$C$804,B16)</f>
        <v>0</v>
      </c>
      <c r="H16" s="16" t="str">
        <f aca="false">IFERROR(G16/F16,"")</f>
        <v/>
      </c>
    </row>
    <row r="17" customFormat="false" ht="15" hidden="false" customHeight="false" outlineLevel="0" collapsed="false">
      <c r="A17" s="31" t="s">
        <v>65</v>
      </c>
      <c r="B17" s="31" t="s">
        <v>148</v>
      </c>
      <c r="C17" s="14" t="n">
        <f aca="false">COUNTIFS('Recruiter Activity'!$B$4:$B$804,A17,'Recruiter Activity'!$C$4:$C$804,B17)</f>
        <v>1</v>
      </c>
      <c r="D17" s="14" t="n">
        <f aca="false">SUMIFS('Recruiter Activity'!$E$4:$E$804,'Recruiter Activity'!$B$4:$B$804,A17,'Recruiter Activity'!$C$4:$C$804,B17)</f>
        <v>0</v>
      </c>
      <c r="E17" s="14" t="n">
        <f aca="false">SUMIFS('Recruiter Activity'!$F$4:$F$804,'Recruiter Activity'!$B$4:$B$804,A17,'Recruiter Activity'!$C$4:$C$804,B17)</f>
        <v>0</v>
      </c>
      <c r="F17" s="14" t="n">
        <f aca="false">SUMIFS('Recruiter Activity'!$G$4:$G$804,'Recruiter Activity'!$B$4:$B$804,A17,'Recruiter Activity'!$C$4:$C$804,B17)</f>
        <v>0</v>
      </c>
      <c r="G17" s="14" t="n">
        <f aca="false">SUMIFS('Recruiter Activity'!$H$4:$H$804,'Recruiter Activity'!$B$4:$B$804,A17,'Recruiter Activity'!$C$4:$C$804,B17)</f>
        <v>0</v>
      </c>
      <c r="H17" s="16" t="str">
        <f aca="false">IFERROR(G17/F17,"")</f>
        <v/>
      </c>
    </row>
    <row r="18" customFormat="false" ht="23.85" hidden="false" customHeight="false" outlineLevel="0" collapsed="false">
      <c r="A18" s="31" t="s">
        <v>65</v>
      </c>
      <c r="B18" s="31" t="s">
        <v>150</v>
      </c>
      <c r="C18" s="14" t="n">
        <f aca="false">COUNTIFS('Recruiter Activity'!$B$4:$B$804,A18,'Recruiter Activity'!$C$4:$C$804,B18)</f>
        <v>1</v>
      </c>
      <c r="D18" s="14" t="n">
        <f aca="false">SUMIFS('Recruiter Activity'!$E$4:$E$804,'Recruiter Activity'!$B$4:$B$804,A18,'Recruiter Activity'!$C$4:$C$804,B18)</f>
        <v>0</v>
      </c>
      <c r="E18" s="14" t="n">
        <f aca="false">SUMIFS('Recruiter Activity'!$F$4:$F$804,'Recruiter Activity'!$B$4:$B$804,A18,'Recruiter Activity'!$C$4:$C$804,B18)</f>
        <v>0</v>
      </c>
      <c r="F18" s="14" t="n">
        <f aca="false">SUMIFS('Recruiter Activity'!$G$4:$G$804,'Recruiter Activity'!$B$4:$B$804,A18,'Recruiter Activity'!$C$4:$C$804,B18)</f>
        <v>0</v>
      </c>
      <c r="G18" s="14" t="n">
        <f aca="false">SUMIFS('Recruiter Activity'!$H$4:$H$804,'Recruiter Activity'!$B$4:$B$804,A18,'Recruiter Activity'!$C$4:$C$804,B18)</f>
        <v>0</v>
      </c>
      <c r="H18" s="16" t="str">
        <f aca="false">IFERROR(G18/F18,"")</f>
        <v/>
      </c>
    </row>
    <row r="19" customFormat="false" ht="23.85" hidden="false" customHeight="false" outlineLevel="0" collapsed="false">
      <c r="A19" s="31" t="s">
        <v>65</v>
      </c>
      <c r="B19" s="31" t="s">
        <v>151</v>
      </c>
      <c r="C19" s="14" t="n">
        <f aca="false">COUNTIFS('Recruiter Activity'!$B$4:$B$804,A19,'Recruiter Activity'!$C$4:$C$804,B19)</f>
        <v>1</v>
      </c>
      <c r="D19" s="14" t="n">
        <f aca="false">SUMIFS('Recruiter Activity'!$E$4:$E$804,'Recruiter Activity'!$B$4:$B$804,A19,'Recruiter Activity'!$C$4:$C$804,B19)</f>
        <v>0</v>
      </c>
      <c r="E19" s="14" t="n">
        <f aca="false">SUMIFS('Recruiter Activity'!$F$4:$F$804,'Recruiter Activity'!$B$4:$B$804,A19,'Recruiter Activity'!$C$4:$C$804,B19)</f>
        <v>0</v>
      </c>
      <c r="F19" s="14" t="n">
        <f aca="false">SUMIFS('Recruiter Activity'!$G$4:$G$804,'Recruiter Activity'!$B$4:$B$804,A19,'Recruiter Activity'!$C$4:$C$804,B19)</f>
        <v>0</v>
      </c>
      <c r="G19" s="14" t="n">
        <f aca="false">SUMIFS('Recruiter Activity'!$H$4:$H$804,'Recruiter Activity'!$B$4:$B$804,A19,'Recruiter Activity'!$C$4:$C$804,B19)</f>
        <v>0</v>
      </c>
      <c r="H19" s="16" t="str">
        <f aca="false">IFERROR(G19/F19,"")</f>
        <v/>
      </c>
    </row>
    <row r="20" customFormat="false" ht="23.85" hidden="false" customHeight="false" outlineLevel="0" collapsed="false">
      <c r="A20" s="31" t="s">
        <v>65</v>
      </c>
      <c r="B20" s="31" t="s">
        <v>153</v>
      </c>
      <c r="C20" s="14" t="n">
        <f aca="false">COUNTIFS('Recruiter Activity'!$B$4:$B$804,A20,'Recruiter Activity'!$C$4:$C$804,B20)</f>
        <v>1</v>
      </c>
      <c r="D20" s="14" t="n">
        <f aca="false">SUMIFS('Recruiter Activity'!$E$4:$E$804,'Recruiter Activity'!$B$4:$B$804,A20,'Recruiter Activity'!$C$4:$C$804,B20)</f>
        <v>0</v>
      </c>
      <c r="E20" s="14" t="n">
        <f aca="false">SUMIFS('Recruiter Activity'!$F$4:$F$804,'Recruiter Activity'!$B$4:$B$804,A20,'Recruiter Activity'!$C$4:$C$804,B20)</f>
        <v>0</v>
      </c>
      <c r="F20" s="14" t="n">
        <f aca="false">SUMIFS('Recruiter Activity'!$G$4:$G$804,'Recruiter Activity'!$B$4:$B$804,A20,'Recruiter Activity'!$C$4:$C$804,B20)</f>
        <v>0</v>
      </c>
      <c r="G20" s="14" t="n">
        <f aca="false">SUMIFS('Recruiter Activity'!$H$4:$H$804,'Recruiter Activity'!$B$4:$B$804,A20,'Recruiter Activity'!$C$4:$C$804,B20)</f>
        <v>0</v>
      </c>
      <c r="H20" s="16" t="str">
        <f aca="false">IFERROR(G20/F20,"")</f>
        <v/>
      </c>
    </row>
    <row r="21" customFormat="false" ht="23.85" hidden="false" customHeight="false" outlineLevel="0" collapsed="false">
      <c r="A21" s="31" t="s">
        <v>65</v>
      </c>
      <c r="B21" s="31" t="s">
        <v>154</v>
      </c>
      <c r="C21" s="14" t="n">
        <f aca="false">COUNTIFS('Recruiter Activity'!$B$4:$B$804,A21,'Recruiter Activity'!$C$4:$C$804,B21)</f>
        <v>1</v>
      </c>
      <c r="D21" s="14" t="n">
        <f aca="false">SUMIFS('Recruiter Activity'!$E$4:$E$804,'Recruiter Activity'!$B$4:$B$804,A21,'Recruiter Activity'!$C$4:$C$804,B21)</f>
        <v>0</v>
      </c>
      <c r="E21" s="14" t="n">
        <f aca="false">SUMIFS('Recruiter Activity'!$F$4:$F$804,'Recruiter Activity'!$B$4:$B$804,A21,'Recruiter Activity'!$C$4:$C$804,B21)</f>
        <v>0</v>
      </c>
      <c r="F21" s="14" t="n">
        <f aca="false">SUMIFS('Recruiter Activity'!$G$4:$G$804,'Recruiter Activity'!$B$4:$B$804,A21,'Recruiter Activity'!$C$4:$C$804,B21)</f>
        <v>0</v>
      </c>
      <c r="G21" s="14" t="n">
        <f aca="false">SUMIFS('Recruiter Activity'!$H$4:$H$804,'Recruiter Activity'!$B$4:$B$804,A21,'Recruiter Activity'!$C$4:$C$804,B21)</f>
        <v>0</v>
      </c>
      <c r="H21" s="16" t="str">
        <f aca="false">IFERROR(G21/F21,"")</f>
        <v/>
      </c>
    </row>
    <row r="22" customFormat="false" ht="23.85" hidden="false" customHeight="false" outlineLevel="0" collapsed="false">
      <c r="A22" s="31" t="s">
        <v>65</v>
      </c>
      <c r="B22" s="31" t="s">
        <v>156</v>
      </c>
      <c r="C22" s="14" t="n">
        <f aca="false">COUNTIFS('Recruiter Activity'!$B$4:$B$804,A22,'Recruiter Activity'!$C$4:$C$804,B22)</f>
        <v>1</v>
      </c>
      <c r="D22" s="14" t="n">
        <f aca="false">SUMIFS('Recruiter Activity'!$E$4:$E$804,'Recruiter Activity'!$B$4:$B$804,A22,'Recruiter Activity'!$C$4:$C$804,B22)</f>
        <v>0</v>
      </c>
      <c r="E22" s="14" t="n">
        <f aca="false">SUMIFS('Recruiter Activity'!$F$4:$F$804,'Recruiter Activity'!$B$4:$B$804,A22,'Recruiter Activity'!$C$4:$C$804,B22)</f>
        <v>0</v>
      </c>
      <c r="F22" s="14" t="n">
        <f aca="false">SUMIFS('Recruiter Activity'!$G$4:$G$804,'Recruiter Activity'!$B$4:$B$804,A22,'Recruiter Activity'!$C$4:$C$804,B22)</f>
        <v>0</v>
      </c>
      <c r="G22" s="14" t="n">
        <f aca="false">SUMIFS('Recruiter Activity'!$H$4:$H$804,'Recruiter Activity'!$B$4:$B$804,A22,'Recruiter Activity'!$C$4:$C$804,B22)</f>
        <v>0</v>
      </c>
      <c r="H22" s="16" t="str">
        <f aca="false">IFERROR(G22/F22,"")</f>
        <v/>
      </c>
    </row>
    <row r="23" customFormat="false" ht="15" hidden="false" customHeight="false" outlineLevel="0" collapsed="false">
      <c r="A23" s="31" t="s">
        <v>65</v>
      </c>
      <c r="B23" s="31" t="s">
        <v>158</v>
      </c>
      <c r="C23" s="14" t="n">
        <f aca="false">COUNTIFS('Recruiter Activity'!$B$4:$B$804,A23,'Recruiter Activity'!$C$4:$C$804,B23)</f>
        <v>1</v>
      </c>
      <c r="D23" s="14" t="n">
        <f aca="false">SUMIFS('Recruiter Activity'!$E$4:$E$804,'Recruiter Activity'!$B$4:$B$804,A23,'Recruiter Activity'!$C$4:$C$804,B23)</f>
        <v>0</v>
      </c>
      <c r="E23" s="14" t="n">
        <f aca="false">SUMIFS('Recruiter Activity'!$F$4:$F$804,'Recruiter Activity'!$B$4:$B$804,A23,'Recruiter Activity'!$C$4:$C$804,B23)</f>
        <v>0</v>
      </c>
      <c r="F23" s="14" t="n">
        <f aca="false">SUMIFS('Recruiter Activity'!$G$4:$G$804,'Recruiter Activity'!$B$4:$B$804,A23,'Recruiter Activity'!$C$4:$C$804,B23)</f>
        <v>0</v>
      </c>
      <c r="G23" s="14" t="n">
        <f aca="false">SUMIFS('Recruiter Activity'!$H$4:$H$804,'Recruiter Activity'!$B$4:$B$804,A23,'Recruiter Activity'!$C$4:$C$804,B23)</f>
        <v>0</v>
      </c>
      <c r="H23" s="16" t="str">
        <f aca="false">IFERROR(G23/F23,"")</f>
        <v/>
      </c>
    </row>
    <row r="24" customFormat="false" ht="15" hidden="false" customHeight="false" outlineLevel="0" collapsed="false">
      <c r="A24" s="31" t="s">
        <v>65</v>
      </c>
      <c r="B24" s="31" t="s">
        <v>160</v>
      </c>
      <c r="C24" s="14" t="n">
        <f aca="false">COUNTIFS('Recruiter Activity'!$B$4:$B$804,A24,'Recruiter Activity'!$C$4:$C$804,B24)</f>
        <v>1</v>
      </c>
      <c r="D24" s="14" t="n">
        <f aca="false">SUMIFS('Recruiter Activity'!$E$4:$E$804,'Recruiter Activity'!$B$4:$B$804,A24,'Recruiter Activity'!$C$4:$C$804,B24)</f>
        <v>0</v>
      </c>
      <c r="E24" s="14" t="n">
        <f aca="false">SUMIFS('Recruiter Activity'!$F$4:$F$804,'Recruiter Activity'!$B$4:$B$804,A24,'Recruiter Activity'!$C$4:$C$804,B24)</f>
        <v>0</v>
      </c>
      <c r="F24" s="14" t="n">
        <f aca="false">SUMIFS('Recruiter Activity'!$G$4:$G$804,'Recruiter Activity'!$B$4:$B$804,A24,'Recruiter Activity'!$C$4:$C$804,B24)</f>
        <v>0</v>
      </c>
      <c r="G24" s="14" t="n">
        <f aca="false">SUMIFS('Recruiter Activity'!$H$4:$H$804,'Recruiter Activity'!$B$4:$B$804,A24,'Recruiter Activity'!$C$4:$C$804,B24)</f>
        <v>0</v>
      </c>
      <c r="H24" s="16" t="str">
        <f aca="false">IFERROR(G24/F24,"")</f>
        <v/>
      </c>
    </row>
    <row r="25" customFormat="false" ht="23.85" hidden="false" customHeight="false" outlineLevel="0" collapsed="false">
      <c r="A25" s="31" t="s">
        <v>65</v>
      </c>
      <c r="B25" s="31" t="s">
        <v>162</v>
      </c>
      <c r="C25" s="14" t="n">
        <f aca="false">COUNTIFS('Recruiter Activity'!$B$4:$B$804,A25,'Recruiter Activity'!$C$4:$C$804,B25)</f>
        <v>1</v>
      </c>
      <c r="D25" s="14" t="n">
        <f aca="false">SUMIFS('Recruiter Activity'!$E$4:$E$804,'Recruiter Activity'!$B$4:$B$804,A25,'Recruiter Activity'!$C$4:$C$804,B25)</f>
        <v>0</v>
      </c>
      <c r="E25" s="14" t="n">
        <f aca="false">SUMIFS('Recruiter Activity'!$F$4:$F$804,'Recruiter Activity'!$B$4:$B$804,A25,'Recruiter Activity'!$C$4:$C$804,B25)</f>
        <v>0</v>
      </c>
      <c r="F25" s="14" t="n">
        <f aca="false">SUMIFS('Recruiter Activity'!$G$4:$G$804,'Recruiter Activity'!$B$4:$B$804,A25,'Recruiter Activity'!$C$4:$C$804,B25)</f>
        <v>0</v>
      </c>
      <c r="G25" s="14" t="n">
        <f aca="false">SUMIFS('Recruiter Activity'!$H$4:$H$804,'Recruiter Activity'!$B$4:$B$804,A25,'Recruiter Activity'!$C$4:$C$804,B25)</f>
        <v>0</v>
      </c>
      <c r="H25" s="16" t="str">
        <f aca="false">IFERROR(G25/F25,"")</f>
        <v/>
      </c>
    </row>
    <row r="26" customFormat="false" ht="23.85" hidden="false" customHeight="false" outlineLevel="0" collapsed="false">
      <c r="A26" s="31" t="s">
        <v>65</v>
      </c>
      <c r="B26" s="31" t="s">
        <v>164</v>
      </c>
      <c r="C26" s="14" t="n">
        <f aca="false">COUNTIFS('Recruiter Activity'!$B$4:$B$804,A26,'Recruiter Activity'!$C$4:$C$804,B26)</f>
        <v>1</v>
      </c>
      <c r="D26" s="14" t="n">
        <f aca="false">SUMIFS('Recruiter Activity'!$E$4:$E$804,'Recruiter Activity'!$B$4:$B$804,A26,'Recruiter Activity'!$C$4:$C$804,B26)</f>
        <v>0</v>
      </c>
      <c r="E26" s="14" t="n">
        <f aca="false">SUMIFS('Recruiter Activity'!$F$4:$F$804,'Recruiter Activity'!$B$4:$B$804,A26,'Recruiter Activity'!$C$4:$C$804,B26)</f>
        <v>0</v>
      </c>
      <c r="F26" s="14" t="n">
        <f aca="false">SUMIFS('Recruiter Activity'!$G$4:$G$804,'Recruiter Activity'!$B$4:$B$804,A26,'Recruiter Activity'!$C$4:$C$804,B26)</f>
        <v>0</v>
      </c>
      <c r="G26" s="14" t="n">
        <f aca="false">SUMIFS('Recruiter Activity'!$H$4:$H$804,'Recruiter Activity'!$B$4:$B$804,A26,'Recruiter Activity'!$C$4:$C$804,B26)</f>
        <v>0</v>
      </c>
      <c r="H26" s="16" t="str">
        <f aca="false">IFERROR(G26/F26,"")</f>
        <v/>
      </c>
    </row>
    <row r="27" customFormat="false" ht="23.85" hidden="false" customHeight="false" outlineLevel="0" collapsed="false">
      <c r="A27" s="31" t="s">
        <v>65</v>
      </c>
      <c r="B27" s="31" t="s">
        <v>166</v>
      </c>
      <c r="C27" s="14" t="n">
        <f aca="false">COUNTIFS('Recruiter Activity'!$B$4:$B$804,A27,'Recruiter Activity'!$C$4:$C$804,B27)</f>
        <v>1</v>
      </c>
      <c r="D27" s="14" t="n">
        <f aca="false">SUMIFS('Recruiter Activity'!$E$4:$E$804,'Recruiter Activity'!$B$4:$B$804,A27,'Recruiter Activity'!$C$4:$C$804,B27)</f>
        <v>0</v>
      </c>
      <c r="E27" s="14" t="n">
        <f aca="false">SUMIFS('Recruiter Activity'!$F$4:$F$804,'Recruiter Activity'!$B$4:$B$804,A27,'Recruiter Activity'!$C$4:$C$804,B27)</f>
        <v>0</v>
      </c>
      <c r="F27" s="14" t="n">
        <f aca="false">SUMIFS('Recruiter Activity'!$G$4:$G$804,'Recruiter Activity'!$B$4:$B$804,A27,'Recruiter Activity'!$C$4:$C$804,B27)</f>
        <v>0</v>
      </c>
      <c r="G27" s="14" t="n">
        <f aca="false">SUMIFS('Recruiter Activity'!$H$4:$H$804,'Recruiter Activity'!$B$4:$B$804,A27,'Recruiter Activity'!$C$4:$C$804,B27)</f>
        <v>0</v>
      </c>
      <c r="H27" s="16" t="str">
        <f aca="false">IFERROR(G27/F27,"")</f>
        <v/>
      </c>
    </row>
    <row r="28" customFormat="false" ht="23.85" hidden="false" customHeight="false" outlineLevel="0" collapsed="false">
      <c r="A28" s="31" t="s">
        <v>65</v>
      </c>
      <c r="B28" s="31" t="s">
        <v>167</v>
      </c>
      <c r="C28" s="14" t="n">
        <f aca="false">COUNTIFS('Recruiter Activity'!$B$4:$B$804,A28,'Recruiter Activity'!$C$4:$C$804,B28)</f>
        <v>1</v>
      </c>
      <c r="D28" s="14" t="n">
        <f aca="false">SUMIFS('Recruiter Activity'!$E$4:$E$804,'Recruiter Activity'!$B$4:$B$804,A28,'Recruiter Activity'!$C$4:$C$804,B28)</f>
        <v>0</v>
      </c>
      <c r="E28" s="14" t="n">
        <f aca="false">SUMIFS('Recruiter Activity'!$F$4:$F$804,'Recruiter Activity'!$B$4:$B$804,A28,'Recruiter Activity'!$C$4:$C$804,B28)</f>
        <v>0</v>
      </c>
      <c r="F28" s="14" t="n">
        <f aca="false">SUMIFS('Recruiter Activity'!$G$4:$G$804,'Recruiter Activity'!$B$4:$B$804,A28,'Recruiter Activity'!$C$4:$C$804,B28)</f>
        <v>0</v>
      </c>
      <c r="G28" s="14" t="n">
        <f aca="false">SUMIFS('Recruiter Activity'!$H$4:$H$804,'Recruiter Activity'!$B$4:$B$804,A28,'Recruiter Activity'!$C$4:$C$804,B28)</f>
        <v>0</v>
      </c>
      <c r="H28" s="16" t="str">
        <f aca="false">IFERROR(G28/F28,"")</f>
        <v/>
      </c>
    </row>
    <row r="29" customFormat="false" ht="23.85" hidden="false" customHeight="false" outlineLevel="0" collapsed="false">
      <c r="A29" s="31" t="s">
        <v>65</v>
      </c>
      <c r="B29" s="31" t="s">
        <v>169</v>
      </c>
      <c r="C29" s="14" t="n">
        <f aca="false">COUNTIFS('Recruiter Activity'!$B$4:$B$804,A29,'Recruiter Activity'!$C$4:$C$804,B29)</f>
        <v>1</v>
      </c>
      <c r="D29" s="14" t="n">
        <f aca="false">SUMIFS('Recruiter Activity'!$E$4:$E$804,'Recruiter Activity'!$B$4:$B$804,A29,'Recruiter Activity'!$C$4:$C$804,B29)</f>
        <v>0</v>
      </c>
      <c r="E29" s="14" t="n">
        <f aca="false">SUMIFS('Recruiter Activity'!$F$4:$F$804,'Recruiter Activity'!$B$4:$B$804,A29,'Recruiter Activity'!$C$4:$C$804,B29)</f>
        <v>0</v>
      </c>
      <c r="F29" s="14" t="n">
        <f aca="false">SUMIFS('Recruiter Activity'!$G$4:$G$804,'Recruiter Activity'!$B$4:$B$804,A29,'Recruiter Activity'!$C$4:$C$804,B29)</f>
        <v>0</v>
      </c>
      <c r="G29" s="14" t="n">
        <f aca="false">SUMIFS('Recruiter Activity'!$H$4:$H$804,'Recruiter Activity'!$B$4:$B$804,A29,'Recruiter Activity'!$C$4:$C$804,B29)</f>
        <v>0</v>
      </c>
      <c r="H29" s="16" t="str">
        <f aca="false">IFERROR(G29/F29,"")</f>
        <v/>
      </c>
    </row>
    <row r="30" customFormat="false" ht="23.85" hidden="false" customHeight="false" outlineLevel="0" collapsed="false">
      <c r="A30" s="31" t="s">
        <v>65</v>
      </c>
      <c r="B30" s="31" t="s">
        <v>171</v>
      </c>
      <c r="C30" s="14" t="n">
        <f aca="false">COUNTIFS('Recruiter Activity'!$B$4:$B$804,A30,'Recruiter Activity'!$C$4:$C$804,B30)</f>
        <v>1</v>
      </c>
      <c r="D30" s="14" t="n">
        <f aca="false">SUMIFS('Recruiter Activity'!$E$4:$E$804,'Recruiter Activity'!$B$4:$B$804,A30,'Recruiter Activity'!$C$4:$C$804,B30)</f>
        <v>0</v>
      </c>
      <c r="E30" s="14" t="n">
        <f aca="false">SUMIFS('Recruiter Activity'!$F$4:$F$804,'Recruiter Activity'!$B$4:$B$804,A30,'Recruiter Activity'!$C$4:$C$804,B30)</f>
        <v>0</v>
      </c>
      <c r="F30" s="14" t="n">
        <f aca="false">SUMIFS('Recruiter Activity'!$G$4:$G$804,'Recruiter Activity'!$B$4:$B$804,A30,'Recruiter Activity'!$C$4:$C$804,B30)</f>
        <v>0</v>
      </c>
      <c r="G30" s="14" t="n">
        <f aca="false">SUMIFS('Recruiter Activity'!$H$4:$H$804,'Recruiter Activity'!$B$4:$B$804,A30,'Recruiter Activity'!$C$4:$C$804,B30)</f>
        <v>0</v>
      </c>
      <c r="H30" s="16" t="str">
        <f aca="false">IFERROR(G30/F30,"")</f>
        <v/>
      </c>
    </row>
    <row r="31" customFormat="false" ht="23.85" hidden="false" customHeight="false" outlineLevel="0" collapsed="false">
      <c r="A31" s="31" t="s">
        <v>65</v>
      </c>
      <c r="B31" s="31" t="s">
        <v>173</v>
      </c>
      <c r="C31" s="14" t="n">
        <f aca="false">COUNTIFS('Recruiter Activity'!$B$4:$B$804,A31,'Recruiter Activity'!$C$4:$C$804,B31)</f>
        <v>1</v>
      </c>
      <c r="D31" s="14" t="n">
        <f aca="false">SUMIFS('Recruiter Activity'!$E$4:$E$804,'Recruiter Activity'!$B$4:$B$804,A31,'Recruiter Activity'!$C$4:$C$804,B31)</f>
        <v>0</v>
      </c>
      <c r="E31" s="14" t="n">
        <f aca="false">SUMIFS('Recruiter Activity'!$F$4:$F$804,'Recruiter Activity'!$B$4:$B$804,A31,'Recruiter Activity'!$C$4:$C$804,B31)</f>
        <v>0</v>
      </c>
      <c r="F31" s="14" t="n">
        <f aca="false">SUMIFS('Recruiter Activity'!$G$4:$G$804,'Recruiter Activity'!$B$4:$B$804,A31,'Recruiter Activity'!$C$4:$C$804,B31)</f>
        <v>0</v>
      </c>
      <c r="G31" s="14" t="n">
        <f aca="false">SUMIFS('Recruiter Activity'!$H$4:$H$804,'Recruiter Activity'!$B$4:$B$804,A31,'Recruiter Activity'!$C$4:$C$804,B31)</f>
        <v>0</v>
      </c>
      <c r="H31" s="16" t="str">
        <f aca="false">IFERROR(G31/F31,"")</f>
        <v/>
      </c>
    </row>
    <row r="32" customFormat="false" ht="23.85" hidden="false" customHeight="false" outlineLevel="0" collapsed="false">
      <c r="A32" s="31" t="s">
        <v>65</v>
      </c>
      <c r="B32" s="31" t="s">
        <v>175</v>
      </c>
      <c r="C32" s="14" t="n">
        <f aca="false">COUNTIFS('Recruiter Activity'!$B$4:$B$804,A32,'Recruiter Activity'!$C$4:$C$804,B32)</f>
        <v>1</v>
      </c>
      <c r="D32" s="14" t="n">
        <f aca="false">SUMIFS('Recruiter Activity'!$E$4:$E$804,'Recruiter Activity'!$B$4:$B$804,A32,'Recruiter Activity'!$C$4:$C$804,B32)</f>
        <v>0</v>
      </c>
      <c r="E32" s="14" t="n">
        <f aca="false">SUMIFS('Recruiter Activity'!$F$4:$F$804,'Recruiter Activity'!$B$4:$B$804,A32,'Recruiter Activity'!$C$4:$C$804,B32)</f>
        <v>0</v>
      </c>
      <c r="F32" s="14" t="n">
        <f aca="false">SUMIFS('Recruiter Activity'!$G$4:$G$804,'Recruiter Activity'!$B$4:$B$804,A32,'Recruiter Activity'!$C$4:$C$804,B32)</f>
        <v>0</v>
      </c>
      <c r="G32" s="14" t="n">
        <f aca="false">SUMIFS('Recruiter Activity'!$H$4:$H$804,'Recruiter Activity'!$B$4:$B$804,A32,'Recruiter Activity'!$C$4:$C$804,B32)</f>
        <v>0</v>
      </c>
      <c r="H32" s="16" t="str">
        <f aca="false">IFERROR(G32/F32,"")</f>
        <v/>
      </c>
    </row>
    <row r="33" customFormat="false" ht="23.85" hidden="false" customHeight="false" outlineLevel="0" collapsed="false">
      <c r="A33" s="31" t="s">
        <v>65</v>
      </c>
      <c r="B33" s="31" t="s">
        <v>177</v>
      </c>
      <c r="C33" s="14" t="n">
        <f aca="false">COUNTIFS('Recruiter Activity'!$B$4:$B$804,A33,'Recruiter Activity'!$C$4:$C$804,B33)</f>
        <v>1</v>
      </c>
      <c r="D33" s="14" t="n">
        <f aca="false">SUMIFS('Recruiter Activity'!$E$4:$E$804,'Recruiter Activity'!$B$4:$B$804,A33,'Recruiter Activity'!$C$4:$C$804,B33)</f>
        <v>0</v>
      </c>
      <c r="E33" s="14" t="n">
        <f aca="false">SUMIFS('Recruiter Activity'!$F$4:$F$804,'Recruiter Activity'!$B$4:$B$804,A33,'Recruiter Activity'!$C$4:$C$804,B33)</f>
        <v>0</v>
      </c>
      <c r="F33" s="14" t="n">
        <f aca="false">SUMIFS('Recruiter Activity'!$G$4:$G$804,'Recruiter Activity'!$B$4:$B$804,A33,'Recruiter Activity'!$C$4:$C$804,B33)</f>
        <v>0</v>
      </c>
      <c r="G33" s="14" t="n">
        <f aca="false">SUMIFS('Recruiter Activity'!$H$4:$H$804,'Recruiter Activity'!$B$4:$B$804,A33,'Recruiter Activity'!$C$4:$C$804,B33)</f>
        <v>0</v>
      </c>
      <c r="H33" s="16" t="str">
        <f aca="false">IFERROR(G33/F33,"")</f>
        <v/>
      </c>
    </row>
    <row r="34" customFormat="false" ht="23.85" hidden="false" customHeight="false" outlineLevel="0" collapsed="false">
      <c r="A34" s="31" t="s">
        <v>65</v>
      </c>
      <c r="B34" s="31" t="s">
        <v>178</v>
      </c>
      <c r="C34" s="14" t="n">
        <f aca="false">COUNTIFS('Recruiter Activity'!$B$4:$B$804,A34,'Recruiter Activity'!$C$4:$C$804,B34)</f>
        <v>1</v>
      </c>
      <c r="D34" s="14" t="n">
        <f aca="false">SUMIFS('Recruiter Activity'!$E$4:$E$804,'Recruiter Activity'!$B$4:$B$804,A34,'Recruiter Activity'!$C$4:$C$804,B34)</f>
        <v>0</v>
      </c>
      <c r="E34" s="14" t="n">
        <f aca="false">SUMIFS('Recruiter Activity'!$F$4:$F$804,'Recruiter Activity'!$B$4:$B$804,A34,'Recruiter Activity'!$C$4:$C$804,B34)</f>
        <v>0</v>
      </c>
      <c r="F34" s="14" t="n">
        <f aca="false">SUMIFS('Recruiter Activity'!$G$4:$G$804,'Recruiter Activity'!$B$4:$B$804,A34,'Recruiter Activity'!$C$4:$C$804,B34)</f>
        <v>0</v>
      </c>
      <c r="G34" s="14" t="n">
        <f aca="false">SUMIFS('Recruiter Activity'!$H$4:$H$804,'Recruiter Activity'!$B$4:$B$804,A34,'Recruiter Activity'!$C$4:$C$804,B34)</f>
        <v>0</v>
      </c>
      <c r="H34" s="16" t="str">
        <f aca="false">IFERROR(G34/F34,"")</f>
        <v/>
      </c>
    </row>
    <row r="35" customFormat="false" ht="23.85" hidden="false" customHeight="false" outlineLevel="0" collapsed="false">
      <c r="A35" s="31" t="s">
        <v>65</v>
      </c>
      <c r="B35" s="31" t="s">
        <v>180</v>
      </c>
      <c r="C35" s="14" t="n">
        <f aca="false">COUNTIFS('Recruiter Activity'!$B$4:$B$804,A35,'Recruiter Activity'!$C$4:$C$804,B35)</f>
        <v>1</v>
      </c>
      <c r="D35" s="14" t="n">
        <f aca="false">SUMIFS('Recruiter Activity'!$E$4:$E$804,'Recruiter Activity'!$B$4:$B$804,A35,'Recruiter Activity'!$C$4:$C$804,B35)</f>
        <v>0</v>
      </c>
      <c r="E35" s="14" t="n">
        <f aca="false">SUMIFS('Recruiter Activity'!$F$4:$F$804,'Recruiter Activity'!$B$4:$B$804,A35,'Recruiter Activity'!$C$4:$C$804,B35)</f>
        <v>0</v>
      </c>
      <c r="F35" s="14" t="n">
        <f aca="false">SUMIFS('Recruiter Activity'!$G$4:$G$804,'Recruiter Activity'!$B$4:$B$804,A35,'Recruiter Activity'!$C$4:$C$804,B35)</f>
        <v>0</v>
      </c>
      <c r="G35" s="14" t="n">
        <f aca="false">SUMIFS('Recruiter Activity'!$H$4:$H$804,'Recruiter Activity'!$B$4:$B$804,A35,'Recruiter Activity'!$C$4:$C$804,B35)</f>
        <v>0</v>
      </c>
      <c r="H35" s="16" t="str">
        <f aca="false">IFERROR(G35/F35,"")</f>
        <v/>
      </c>
    </row>
    <row r="36" customFormat="false" ht="23.85" hidden="false" customHeight="false" outlineLevel="0" collapsed="false">
      <c r="A36" s="31" t="s">
        <v>65</v>
      </c>
      <c r="B36" s="31" t="s">
        <v>182</v>
      </c>
      <c r="C36" s="14" t="n">
        <f aca="false">COUNTIFS('Recruiter Activity'!$B$4:$B$804,A36,'Recruiter Activity'!$C$4:$C$804,B36)</f>
        <v>1</v>
      </c>
      <c r="D36" s="14" t="n">
        <f aca="false">SUMIFS('Recruiter Activity'!$E$4:$E$804,'Recruiter Activity'!$B$4:$B$804,A36,'Recruiter Activity'!$C$4:$C$804,B36)</f>
        <v>0</v>
      </c>
      <c r="E36" s="14" t="n">
        <f aca="false">SUMIFS('Recruiter Activity'!$F$4:$F$804,'Recruiter Activity'!$B$4:$B$804,A36,'Recruiter Activity'!$C$4:$C$804,B36)</f>
        <v>0</v>
      </c>
      <c r="F36" s="14" t="n">
        <f aca="false">SUMIFS('Recruiter Activity'!$G$4:$G$804,'Recruiter Activity'!$B$4:$B$804,A36,'Recruiter Activity'!$C$4:$C$804,B36)</f>
        <v>0</v>
      </c>
      <c r="G36" s="14" t="n">
        <f aca="false">SUMIFS('Recruiter Activity'!$H$4:$H$804,'Recruiter Activity'!$B$4:$B$804,A36,'Recruiter Activity'!$C$4:$C$804,B36)</f>
        <v>0</v>
      </c>
      <c r="H36" s="16" t="str">
        <f aca="false">IFERROR(G36/F36,"")</f>
        <v/>
      </c>
    </row>
    <row r="37" customFormat="false" ht="23.85" hidden="false" customHeight="false" outlineLevel="0" collapsed="false">
      <c r="A37" s="31" t="s">
        <v>65</v>
      </c>
      <c r="B37" s="31" t="s">
        <v>183</v>
      </c>
      <c r="C37" s="14" t="n">
        <f aca="false">COUNTIFS('Recruiter Activity'!$B$4:$B$804,A37,'Recruiter Activity'!$C$4:$C$804,B37)</f>
        <v>1</v>
      </c>
      <c r="D37" s="14" t="n">
        <f aca="false">SUMIFS('Recruiter Activity'!$E$4:$E$804,'Recruiter Activity'!$B$4:$B$804,A37,'Recruiter Activity'!$C$4:$C$804,B37)</f>
        <v>0</v>
      </c>
      <c r="E37" s="14" t="n">
        <f aca="false">SUMIFS('Recruiter Activity'!$F$4:$F$804,'Recruiter Activity'!$B$4:$B$804,A37,'Recruiter Activity'!$C$4:$C$804,B37)</f>
        <v>0</v>
      </c>
      <c r="F37" s="14" t="n">
        <f aca="false">SUMIFS('Recruiter Activity'!$G$4:$G$804,'Recruiter Activity'!$B$4:$B$804,A37,'Recruiter Activity'!$C$4:$C$804,B37)</f>
        <v>0</v>
      </c>
      <c r="G37" s="14" t="n">
        <f aca="false">SUMIFS('Recruiter Activity'!$H$4:$H$804,'Recruiter Activity'!$B$4:$B$804,A37,'Recruiter Activity'!$C$4:$C$804,B37)</f>
        <v>0</v>
      </c>
      <c r="H37" s="16" t="str">
        <f aca="false">IFERROR(G37/F37,"")</f>
        <v/>
      </c>
    </row>
    <row r="38" customFormat="false" ht="23.85" hidden="false" customHeight="false" outlineLevel="0" collapsed="false">
      <c r="A38" s="31" t="s">
        <v>65</v>
      </c>
      <c r="B38" s="31" t="s">
        <v>185</v>
      </c>
      <c r="C38" s="14" t="n">
        <f aca="false">COUNTIFS('Recruiter Activity'!$B$4:$B$804,A38,'Recruiter Activity'!$C$4:$C$804,B38)</f>
        <v>1</v>
      </c>
      <c r="D38" s="14" t="n">
        <f aca="false">SUMIFS('Recruiter Activity'!$E$4:$E$804,'Recruiter Activity'!$B$4:$B$804,A38,'Recruiter Activity'!$C$4:$C$804,B38)</f>
        <v>0</v>
      </c>
      <c r="E38" s="14" t="n">
        <f aca="false">SUMIFS('Recruiter Activity'!$F$4:$F$804,'Recruiter Activity'!$B$4:$B$804,A38,'Recruiter Activity'!$C$4:$C$804,B38)</f>
        <v>0</v>
      </c>
      <c r="F38" s="14" t="n">
        <f aca="false">SUMIFS('Recruiter Activity'!$G$4:$G$804,'Recruiter Activity'!$B$4:$B$804,A38,'Recruiter Activity'!$C$4:$C$804,B38)</f>
        <v>0</v>
      </c>
      <c r="G38" s="14" t="n">
        <f aca="false">SUMIFS('Recruiter Activity'!$H$4:$H$804,'Recruiter Activity'!$B$4:$B$804,A38,'Recruiter Activity'!$C$4:$C$804,B38)</f>
        <v>0</v>
      </c>
      <c r="H38" s="16" t="str">
        <f aca="false">IFERROR(G38/F38,"")</f>
        <v/>
      </c>
    </row>
    <row r="39" customFormat="false" ht="23.85" hidden="false" customHeight="false" outlineLevel="0" collapsed="false">
      <c r="A39" s="31" t="s">
        <v>65</v>
      </c>
      <c r="B39" s="31" t="s">
        <v>186</v>
      </c>
      <c r="C39" s="14" t="n">
        <f aca="false">COUNTIFS('Recruiter Activity'!$B$4:$B$804,A39,'Recruiter Activity'!$C$4:$C$804,B39)</f>
        <v>1</v>
      </c>
      <c r="D39" s="14" t="n">
        <f aca="false">SUMIFS('Recruiter Activity'!$E$4:$E$804,'Recruiter Activity'!$B$4:$B$804,A39,'Recruiter Activity'!$C$4:$C$804,B39)</f>
        <v>0</v>
      </c>
      <c r="E39" s="14" t="n">
        <f aca="false">SUMIFS('Recruiter Activity'!$F$4:$F$804,'Recruiter Activity'!$B$4:$B$804,A39,'Recruiter Activity'!$C$4:$C$804,B39)</f>
        <v>0</v>
      </c>
      <c r="F39" s="14" t="n">
        <f aca="false">SUMIFS('Recruiter Activity'!$G$4:$G$804,'Recruiter Activity'!$B$4:$B$804,A39,'Recruiter Activity'!$C$4:$C$804,B39)</f>
        <v>0</v>
      </c>
      <c r="G39" s="14" t="n">
        <f aca="false">SUMIFS('Recruiter Activity'!$H$4:$H$804,'Recruiter Activity'!$B$4:$B$804,A39,'Recruiter Activity'!$C$4:$C$804,B39)</f>
        <v>0</v>
      </c>
      <c r="H39" s="16" t="str">
        <f aca="false">IFERROR(G39/F39,"")</f>
        <v/>
      </c>
    </row>
    <row r="40" customFormat="false" ht="23.85" hidden="false" customHeight="false" outlineLevel="0" collapsed="false">
      <c r="A40" s="31" t="s">
        <v>65</v>
      </c>
      <c r="B40" s="31" t="s">
        <v>187</v>
      </c>
      <c r="C40" s="14" t="n">
        <f aca="false">COUNTIFS('Recruiter Activity'!$B$4:$B$804,A40,'Recruiter Activity'!$C$4:$C$804,B40)</f>
        <v>1</v>
      </c>
      <c r="D40" s="14" t="n">
        <f aca="false">SUMIFS('Recruiter Activity'!$E$4:$E$804,'Recruiter Activity'!$B$4:$B$804,A40,'Recruiter Activity'!$C$4:$C$804,B40)</f>
        <v>0</v>
      </c>
      <c r="E40" s="14" t="n">
        <f aca="false">SUMIFS('Recruiter Activity'!$F$4:$F$804,'Recruiter Activity'!$B$4:$B$804,A40,'Recruiter Activity'!$C$4:$C$804,B40)</f>
        <v>0</v>
      </c>
      <c r="F40" s="14" t="n">
        <f aca="false">SUMIFS('Recruiter Activity'!$G$4:$G$804,'Recruiter Activity'!$B$4:$B$804,A40,'Recruiter Activity'!$C$4:$C$804,B40)</f>
        <v>0</v>
      </c>
      <c r="G40" s="14" t="n">
        <f aca="false">SUMIFS('Recruiter Activity'!$H$4:$H$804,'Recruiter Activity'!$B$4:$B$804,A40,'Recruiter Activity'!$C$4:$C$804,B40)</f>
        <v>0</v>
      </c>
      <c r="H40" s="16" t="str">
        <f aca="false">IFERROR(G40/F40,"")</f>
        <v/>
      </c>
    </row>
    <row r="41" customFormat="false" ht="23.85" hidden="false" customHeight="false" outlineLevel="0" collapsed="false">
      <c r="A41" s="31" t="s">
        <v>65</v>
      </c>
      <c r="B41" s="31" t="s">
        <v>188</v>
      </c>
      <c r="C41" s="14" t="n">
        <f aca="false">COUNTIFS('Recruiter Activity'!$B$4:$B$804,A41,'Recruiter Activity'!$C$4:$C$804,B41)</f>
        <v>1</v>
      </c>
      <c r="D41" s="14" t="n">
        <f aca="false">SUMIFS('Recruiter Activity'!$E$4:$E$804,'Recruiter Activity'!$B$4:$B$804,A41,'Recruiter Activity'!$C$4:$C$804,B41)</f>
        <v>0</v>
      </c>
      <c r="E41" s="14" t="n">
        <f aca="false">SUMIFS('Recruiter Activity'!$F$4:$F$804,'Recruiter Activity'!$B$4:$B$804,A41,'Recruiter Activity'!$C$4:$C$804,B41)</f>
        <v>0</v>
      </c>
      <c r="F41" s="14" t="n">
        <f aca="false">SUMIFS('Recruiter Activity'!$G$4:$G$804,'Recruiter Activity'!$B$4:$B$804,A41,'Recruiter Activity'!$C$4:$C$804,B41)</f>
        <v>0</v>
      </c>
      <c r="G41" s="14" t="n">
        <f aca="false">SUMIFS('Recruiter Activity'!$H$4:$H$804,'Recruiter Activity'!$B$4:$B$804,A41,'Recruiter Activity'!$C$4:$C$804,B41)</f>
        <v>0</v>
      </c>
      <c r="H41" s="16" t="str">
        <f aca="false">IFERROR(G41/F41,"")</f>
        <v/>
      </c>
    </row>
    <row r="42" customFormat="false" ht="23.85" hidden="false" customHeight="false" outlineLevel="0" collapsed="false">
      <c r="A42" s="31" t="s">
        <v>65</v>
      </c>
      <c r="B42" s="31" t="s">
        <v>190</v>
      </c>
      <c r="C42" s="14" t="n">
        <f aca="false">COUNTIFS('Recruiter Activity'!$B$4:$B$804,A42,'Recruiter Activity'!$C$4:$C$804,B42)</f>
        <v>1</v>
      </c>
      <c r="D42" s="14" t="n">
        <f aca="false">SUMIFS('Recruiter Activity'!$E$4:$E$804,'Recruiter Activity'!$B$4:$B$804,A42,'Recruiter Activity'!$C$4:$C$804,B42)</f>
        <v>0</v>
      </c>
      <c r="E42" s="14" t="n">
        <f aca="false">SUMIFS('Recruiter Activity'!$F$4:$F$804,'Recruiter Activity'!$B$4:$B$804,A42,'Recruiter Activity'!$C$4:$C$804,B42)</f>
        <v>0</v>
      </c>
      <c r="F42" s="14" t="n">
        <f aca="false">SUMIFS('Recruiter Activity'!$G$4:$G$804,'Recruiter Activity'!$B$4:$B$804,A42,'Recruiter Activity'!$C$4:$C$804,B42)</f>
        <v>0</v>
      </c>
      <c r="G42" s="14" t="n">
        <f aca="false">SUMIFS('Recruiter Activity'!$H$4:$H$804,'Recruiter Activity'!$B$4:$B$804,A42,'Recruiter Activity'!$C$4:$C$804,B42)</f>
        <v>0</v>
      </c>
      <c r="H42" s="16" t="str">
        <f aca="false">IFERROR(G42/F42,"")</f>
        <v/>
      </c>
    </row>
    <row r="43" customFormat="false" ht="23.85" hidden="false" customHeight="false" outlineLevel="0" collapsed="false">
      <c r="A43" s="31" t="s">
        <v>65</v>
      </c>
      <c r="B43" s="31" t="s">
        <v>192</v>
      </c>
      <c r="C43" s="14" t="n">
        <f aca="false">COUNTIFS('Recruiter Activity'!$B$4:$B$804,A43,'Recruiter Activity'!$C$4:$C$804,B43)</f>
        <v>1</v>
      </c>
      <c r="D43" s="14" t="n">
        <f aca="false">SUMIFS('Recruiter Activity'!$E$4:$E$804,'Recruiter Activity'!$B$4:$B$804,A43,'Recruiter Activity'!$C$4:$C$804,B43)</f>
        <v>0</v>
      </c>
      <c r="E43" s="14" t="n">
        <f aca="false">SUMIFS('Recruiter Activity'!$F$4:$F$804,'Recruiter Activity'!$B$4:$B$804,A43,'Recruiter Activity'!$C$4:$C$804,B43)</f>
        <v>0</v>
      </c>
      <c r="F43" s="14" t="n">
        <f aca="false">SUMIFS('Recruiter Activity'!$G$4:$G$804,'Recruiter Activity'!$B$4:$B$804,A43,'Recruiter Activity'!$C$4:$C$804,B43)</f>
        <v>0</v>
      </c>
      <c r="G43" s="14" t="n">
        <f aca="false">SUMIFS('Recruiter Activity'!$H$4:$H$804,'Recruiter Activity'!$B$4:$B$804,A43,'Recruiter Activity'!$C$4:$C$804,B43)</f>
        <v>0</v>
      </c>
      <c r="H43" s="16" t="str">
        <f aca="false">IFERROR(G43/F43,"")</f>
        <v/>
      </c>
    </row>
    <row r="44" customFormat="false" ht="23.85" hidden="false" customHeight="false" outlineLevel="0" collapsed="false">
      <c r="A44" s="31" t="s">
        <v>65</v>
      </c>
      <c r="B44" s="31" t="s">
        <v>193</v>
      </c>
      <c r="C44" s="14" t="n">
        <f aca="false">COUNTIFS('Recruiter Activity'!$B$4:$B$804,A44,'Recruiter Activity'!$C$4:$C$804,B44)</f>
        <v>1</v>
      </c>
      <c r="D44" s="14" t="n">
        <f aca="false">SUMIFS('Recruiter Activity'!$E$4:$E$804,'Recruiter Activity'!$B$4:$B$804,A44,'Recruiter Activity'!$C$4:$C$804,B44)</f>
        <v>0</v>
      </c>
      <c r="E44" s="14" t="n">
        <f aca="false">SUMIFS('Recruiter Activity'!$F$4:$F$804,'Recruiter Activity'!$B$4:$B$804,A44,'Recruiter Activity'!$C$4:$C$804,B44)</f>
        <v>0</v>
      </c>
      <c r="F44" s="14" t="n">
        <f aca="false">SUMIFS('Recruiter Activity'!$G$4:$G$804,'Recruiter Activity'!$B$4:$B$804,A44,'Recruiter Activity'!$C$4:$C$804,B44)</f>
        <v>0</v>
      </c>
      <c r="G44" s="14" t="n">
        <f aca="false">SUMIFS('Recruiter Activity'!$H$4:$H$804,'Recruiter Activity'!$B$4:$B$804,A44,'Recruiter Activity'!$C$4:$C$804,B44)</f>
        <v>0</v>
      </c>
      <c r="H44" s="16" t="str">
        <f aca="false">IFERROR(G44/F44,"")</f>
        <v/>
      </c>
    </row>
    <row r="45" customFormat="false" ht="23.85" hidden="false" customHeight="false" outlineLevel="0" collapsed="false">
      <c r="A45" s="31" t="s">
        <v>65</v>
      </c>
      <c r="B45" s="31" t="s">
        <v>195</v>
      </c>
      <c r="C45" s="14" t="n">
        <f aca="false">COUNTIFS('Recruiter Activity'!$B$4:$B$804,A45,'Recruiter Activity'!$C$4:$C$804,B45)</f>
        <v>1</v>
      </c>
      <c r="D45" s="14" t="n">
        <f aca="false">SUMIFS('Recruiter Activity'!$E$4:$E$804,'Recruiter Activity'!$B$4:$B$804,A45,'Recruiter Activity'!$C$4:$C$804,B45)</f>
        <v>0</v>
      </c>
      <c r="E45" s="14" t="n">
        <f aca="false">SUMIFS('Recruiter Activity'!$F$4:$F$804,'Recruiter Activity'!$B$4:$B$804,A45,'Recruiter Activity'!$C$4:$C$804,B45)</f>
        <v>0</v>
      </c>
      <c r="F45" s="14" t="n">
        <f aca="false">SUMIFS('Recruiter Activity'!$G$4:$G$804,'Recruiter Activity'!$B$4:$B$804,A45,'Recruiter Activity'!$C$4:$C$804,B45)</f>
        <v>0</v>
      </c>
      <c r="G45" s="14" t="n">
        <f aca="false">SUMIFS('Recruiter Activity'!$H$4:$H$804,'Recruiter Activity'!$B$4:$B$804,A45,'Recruiter Activity'!$C$4:$C$804,B45)</f>
        <v>0</v>
      </c>
      <c r="H45" s="16" t="str">
        <f aca="false">IFERROR(G45/F45,"")</f>
        <v/>
      </c>
    </row>
    <row r="46" customFormat="false" ht="23.85" hidden="false" customHeight="false" outlineLevel="0" collapsed="false">
      <c r="A46" s="31" t="s">
        <v>65</v>
      </c>
      <c r="B46" s="31" t="s">
        <v>197</v>
      </c>
      <c r="C46" s="14" t="n">
        <f aca="false">COUNTIFS('Recruiter Activity'!$B$4:$B$804,A46,'Recruiter Activity'!$C$4:$C$804,B46)</f>
        <v>1</v>
      </c>
      <c r="D46" s="14" t="n">
        <f aca="false">SUMIFS('Recruiter Activity'!$E$4:$E$804,'Recruiter Activity'!$B$4:$B$804,A46,'Recruiter Activity'!$C$4:$C$804,B46)</f>
        <v>0</v>
      </c>
      <c r="E46" s="14" t="n">
        <f aca="false">SUMIFS('Recruiter Activity'!$F$4:$F$804,'Recruiter Activity'!$B$4:$B$804,A46,'Recruiter Activity'!$C$4:$C$804,B46)</f>
        <v>0</v>
      </c>
      <c r="F46" s="14" t="n">
        <f aca="false">SUMIFS('Recruiter Activity'!$G$4:$G$804,'Recruiter Activity'!$B$4:$B$804,A46,'Recruiter Activity'!$C$4:$C$804,B46)</f>
        <v>0</v>
      </c>
      <c r="G46" s="14" t="n">
        <f aca="false">SUMIFS('Recruiter Activity'!$H$4:$H$804,'Recruiter Activity'!$B$4:$B$804,A46,'Recruiter Activity'!$C$4:$C$804,B46)</f>
        <v>0</v>
      </c>
      <c r="H46" s="16" t="str">
        <f aca="false">IFERROR(G46/F46,"")</f>
        <v/>
      </c>
    </row>
    <row r="47" customFormat="false" ht="15" hidden="false" customHeight="false" outlineLevel="0" collapsed="false">
      <c r="A47" s="31" t="s">
        <v>65</v>
      </c>
      <c r="B47" s="31" t="s">
        <v>198</v>
      </c>
      <c r="C47" s="14" t="n">
        <f aca="false">COUNTIFS('Recruiter Activity'!$B$4:$B$804,A47,'Recruiter Activity'!$C$4:$C$804,B47)</f>
        <v>1</v>
      </c>
      <c r="D47" s="14" t="n">
        <f aca="false">SUMIFS('Recruiter Activity'!$E$4:$E$804,'Recruiter Activity'!$B$4:$B$804,A47,'Recruiter Activity'!$C$4:$C$804,B47)</f>
        <v>0</v>
      </c>
      <c r="E47" s="14" t="n">
        <f aca="false">SUMIFS('Recruiter Activity'!$F$4:$F$804,'Recruiter Activity'!$B$4:$B$804,A47,'Recruiter Activity'!$C$4:$C$804,B47)</f>
        <v>0</v>
      </c>
      <c r="F47" s="14" t="n">
        <f aca="false">SUMIFS('Recruiter Activity'!$G$4:$G$804,'Recruiter Activity'!$B$4:$B$804,A47,'Recruiter Activity'!$C$4:$C$804,B47)</f>
        <v>0</v>
      </c>
      <c r="G47" s="14" t="n">
        <f aca="false">SUMIFS('Recruiter Activity'!$H$4:$H$804,'Recruiter Activity'!$B$4:$B$804,A47,'Recruiter Activity'!$C$4:$C$804,B47)</f>
        <v>0</v>
      </c>
      <c r="H47" s="16" t="str">
        <f aca="false">IFERROR(G47/F47,"")</f>
        <v/>
      </c>
    </row>
    <row r="48" customFormat="false" ht="15" hidden="false" customHeight="false" outlineLevel="0" collapsed="false">
      <c r="A48" s="31" t="s">
        <v>65</v>
      </c>
      <c r="B48" s="31" t="s">
        <v>200</v>
      </c>
      <c r="C48" s="14" t="n">
        <f aca="false">COUNTIFS('Recruiter Activity'!$B$4:$B$804,A48,'Recruiter Activity'!$C$4:$C$804,B48)</f>
        <v>1</v>
      </c>
      <c r="D48" s="14" t="n">
        <f aca="false">SUMIFS('Recruiter Activity'!$E$4:$E$804,'Recruiter Activity'!$B$4:$B$804,A48,'Recruiter Activity'!$C$4:$C$804,B48)</f>
        <v>0</v>
      </c>
      <c r="E48" s="14" t="n">
        <f aca="false">SUMIFS('Recruiter Activity'!$F$4:$F$804,'Recruiter Activity'!$B$4:$B$804,A48,'Recruiter Activity'!$C$4:$C$804,B48)</f>
        <v>0</v>
      </c>
      <c r="F48" s="14" t="n">
        <f aca="false">SUMIFS('Recruiter Activity'!$G$4:$G$804,'Recruiter Activity'!$B$4:$B$804,A48,'Recruiter Activity'!$C$4:$C$804,B48)</f>
        <v>0</v>
      </c>
      <c r="G48" s="14" t="n">
        <f aca="false">SUMIFS('Recruiter Activity'!$H$4:$H$804,'Recruiter Activity'!$B$4:$B$804,A48,'Recruiter Activity'!$C$4:$C$804,B48)</f>
        <v>0</v>
      </c>
      <c r="H48" s="16" t="str">
        <f aca="false">IFERROR(G48/F48,"")</f>
        <v/>
      </c>
    </row>
    <row r="49" customFormat="false" ht="23.85" hidden="false" customHeight="false" outlineLevel="0" collapsed="false">
      <c r="A49" s="31" t="s">
        <v>65</v>
      </c>
      <c r="B49" s="31" t="s">
        <v>202</v>
      </c>
      <c r="C49" s="14" t="n">
        <f aca="false">COUNTIFS('Recruiter Activity'!$B$4:$B$804,A49,'Recruiter Activity'!$C$4:$C$804,B49)</f>
        <v>1</v>
      </c>
      <c r="D49" s="14" t="n">
        <f aca="false">SUMIFS('Recruiter Activity'!$E$4:$E$804,'Recruiter Activity'!$B$4:$B$804,A49,'Recruiter Activity'!$C$4:$C$804,B49)</f>
        <v>0</v>
      </c>
      <c r="E49" s="14" t="n">
        <f aca="false">SUMIFS('Recruiter Activity'!$F$4:$F$804,'Recruiter Activity'!$B$4:$B$804,A49,'Recruiter Activity'!$C$4:$C$804,B49)</f>
        <v>0</v>
      </c>
      <c r="F49" s="14" t="n">
        <f aca="false">SUMIFS('Recruiter Activity'!$G$4:$G$804,'Recruiter Activity'!$B$4:$B$804,A49,'Recruiter Activity'!$C$4:$C$804,B49)</f>
        <v>0</v>
      </c>
      <c r="G49" s="14" t="n">
        <f aca="false">SUMIFS('Recruiter Activity'!$H$4:$H$804,'Recruiter Activity'!$B$4:$B$804,A49,'Recruiter Activity'!$C$4:$C$804,B49)</f>
        <v>0</v>
      </c>
      <c r="H49" s="16" t="str">
        <f aca="false">IFERROR(G49/F49,"")</f>
        <v/>
      </c>
    </row>
    <row r="50" customFormat="false" ht="23.85" hidden="false" customHeight="false" outlineLevel="0" collapsed="false">
      <c r="A50" s="31" t="s">
        <v>65</v>
      </c>
      <c r="B50" s="31" t="s">
        <v>204</v>
      </c>
      <c r="C50" s="14" t="n">
        <f aca="false">COUNTIFS('Recruiter Activity'!$B$4:$B$804,A50,'Recruiter Activity'!$C$4:$C$804,B50)</f>
        <v>1</v>
      </c>
      <c r="D50" s="14" t="n">
        <f aca="false">SUMIFS('Recruiter Activity'!$E$4:$E$804,'Recruiter Activity'!$B$4:$B$804,A50,'Recruiter Activity'!$C$4:$C$804,B50)</f>
        <v>0</v>
      </c>
      <c r="E50" s="14" t="n">
        <f aca="false">SUMIFS('Recruiter Activity'!$F$4:$F$804,'Recruiter Activity'!$B$4:$B$804,A50,'Recruiter Activity'!$C$4:$C$804,B50)</f>
        <v>0</v>
      </c>
      <c r="F50" s="14" t="n">
        <f aca="false">SUMIFS('Recruiter Activity'!$G$4:$G$804,'Recruiter Activity'!$B$4:$B$804,A50,'Recruiter Activity'!$C$4:$C$804,B50)</f>
        <v>0</v>
      </c>
      <c r="G50" s="14" t="n">
        <f aca="false">SUMIFS('Recruiter Activity'!$H$4:$H$804,'Recruiter Activity'!$B$4:$B$804,A50,'Recruiter Activity'!$C$4:$C$804,B50)</f>
        <v>0</v>
      </c>
      <c r="H50" s="16" t="str">
        <f aca="false">IFERROR(G50/F50,"")</f>
        <v/>
      </c>
    </row>
    <row r="51" customFormat="false" ht="23.85" hidden="false" customHeight="false" outlineLevel="0" collapsed="false">
      <c r="A51" s="31" t="s">
        <v>65</v>
      </c>
      <c r="B51" s="31" t="s">
        <v>205</v>
      </c>
      <c r="C51" s="14" t="n">
        <f aca="false">COUNTIFS('Recruiter Activity'!$B$4:$B$804,A51,'Recruiter Activity'!$C$4:$C$804,B51)</f>
        <v>1</v>
      </c>
      <c r="D51" s="14" t="n">
        <f aca="false">SUMIFS('Recruiter Activity'!$E$4:$E$804,'Recruiter Activity'!$B$4:$B$804,A51,'Recruiter Activity'!$C$4:$C$804,B51)</f>
        <v>0</v>
      </c>
      <c r="E51" s="14" t="n">
        <f aca="false">SUMIFS('Recruiter Activity'!$F$4:$F$804,'Recruiter Activity'!$B$4:$B$804,A51,'Recruiter Activity'!$C$4:$C$804,B51)</f>
        <v>0</v>
      </c>
      <c r="F51" s="14" t="n">
        <f aca="false">SUMIFS('Recruiter Activity'!$G$4:$G$804,'Recruiter Activity'!$B$4:$B$804,A51,'Recruiter Activity'!$C$4:$C$804,B51)</f>
        <v>0</v>
      </c>
      <c r="G51" s="14" t="n">
        <f aca="false">SUMIFS('Recruiter Activity'!$H$4:$H$804,'Recruiter Activity'!$B$4:$B$804,A51,'Recruiter Activity'!$C$4:$C$804,B51)</f>
        <v>0</v>
      </c>
      <c r="H51" s="16" t="str">
        <f aca="false">IFERROR(G51/F51,"")</f>
        <v/>
      </c>
    </row>
    <row r="52" customFormat="false" ht="23.85" hidden="false" customHeight="false" outlineLevel="0" collapsed="false">
      <c r="A52" s="31" t="s">
        <v>65</v>
      </c>
      <c r="B52" s="31" t="s">
        <v>206</v>
      </c>
      <c r="C52" s="14" t="n">
        <f aca="false">COUNTIFS('Recruiter Activity'!$B$4:$B$804,A52,'Recruiter Activity'!$C$4:$C$804,B52)</f>
        <v>1</v>
      </c>
      <c r="D52" s="14" t="n">
        <f aca="false">SUMIFS('Recruiter Activity'!$E$4:$E$804,'Recruiter Activity'!$B$4:$B$804,A52,'Recruiter Activity'!$C$4:$C$804,B52)</f>
        <v>0</v>
      </c>
      <c r="E52" s="14" t="n">
        <f aca="false">SUMIFS('Recruiter Activity'!$F$4:$F$804,'Recruiter Activity'!$B$4:$B$804,A52,'Recruiter Activity'!$C$4:$C$804,B52)</f>
        <v>0</v>
      </c>
      <c r="F52" s="14" t="n">
        <f aca="false">SUMIFS('Recruiter Activity'!$G$4:$G$804,'Recruiter Activity'!$B$4:$B$804,A52,'Recruiter Activity'!$C$4:$C$804,B52)</f>
        <v>0</v>
      </c>
      <c r="G52" s="14" t="n">
        <f aca="false">SUMIFS('Recruiter Activity'!$H$4:$H$804,'Recruiter Activity'!$B$4:$B$804,A52,'Recruiter Activity'!$C$4:$C$804,B52)</f>
        <v>0</v>
      </c>
      <c r="H52" s="16" t="str">
        <f aca="false">IFERROR(G52/F52,"")</f>
        <v/>
      </c>
    </row>
    <row r="53" customFormat="false" ht="23.85" hidden="false" customHeight="false" outlineLevel="0" collapsed="false">
      <c r="A53" s="31" t="s">
        <v>65</v>
      </c>
      <c r="B53" s="31" t="s">
        <v>208</v>
      </c>
      <c r="C53" s="14" t="n">
        <f aca="false">COUNTIFS('Recruiter Activity'!$B$4:$B$804,A53,'Recruiter Activity'!$C$4:$C$804,B53)</f>
        <v>1</v>
      </c>
      <c r="D53" s="14" t="n">
        <f aca="false">SUMIFS('Recruiter Activity'!$E$4:$E$804,'Recruiter Activity'!$B$4:$B$804,A53,'Recruiter Activity'!$C$4:$C$804,B53)</f>
        <v>0</v>
      </c>
      <c r="E53" s="14" t="n">
        <f aca="false">SUMIFS('Recruiter Activity'!$F$4:$F$804,'Recruiter Activity'!$B$4:$B$804,A53,'Recruiter Activity'!$C$4:$C$804,B53)</f>
        <v>0</v>
      </c>
      <c r="F53" s="14" t="n">
        <f aca="false">SUMIFS('Recruiter Activity'!$G$4:$G$804,'Recruiter Activity'!$B$4:$B$804,A53,'Recruiter Activity'!$C$4:$C$804,B53)</f>
        <v>0</v>
      </c>
      <c r="G53" s="14" t="n">
        <f aca="false">SUMIFS('Recruiter Activity'!$H$4:$H$804,'Recruiter Activity'!$B$4:$B$804,A53,'Recruiter Activity'!$C$4:$C$804,B53)</f>
        <v>0</v>
      </c>
      <c r="H53" s="16" t="str">
        <f aca="false">IFERROR(G53/F53,"")</f>
        <v/>
      </c>
    </row>
    <row r="54" customFormat="false" ht="23.85" hidden="false" customHeight="false" outlineLevel="0" collapsed="false">
      <c r="A54" s="31" t="s">
        <v>65</v>
      </c>
      <c r="B54" s="31" t="s">
        <v>210</v>
      </c>
      <c r="C54" s="14" t="n">
        <f aca="false">COUNTIFS('Recruiter Activity'!$B$4:$B$804,A54,'Recruiter Activity'!$C$4:$C$804,B54)</f>
        <v>1</v>
      </c>
      <c r="D54" s="14" t="n">
        <f aca="false">SUMIFS('Recruiter Activity'!$E$4:$E$804,'Recruiter Activity'!$B$4:$B$804,A54,'Recruiter Activity'!$C$4:$C$804,B54)</f>
        <v>0</v>
      </c>
      <c r="E54" s="14" t="n">
        <f aca="false">SUMIFS('Recruiter Activity'!$F$4:$F$804,'Recruiter Activity'!$B$4:$B$804,A54,'Recruiter Activity'!$C$4:$C$804,B54)</f>
        <v>0</v>
      </c>
      <c r="F54" s="14" t="n">
        <f aca="false">SUMIFS('Recruiter Activity'!$G$4:$G$804,'Recruiter Activity'!$B$4:$B$804,A54,'Recruiter Activity'!$C$4:$C$804,B54)</f>
        <v>0</v>
      </c>
      <c r="G54" s="14" t="n">
        <f aca="false">SUMIFS('Recruiter Activity'!$H$4:$H$804,'Recruiter Activity'!$B$4:$B$804,A54,'Recruiter Activity'!$C$4:$C$804,B54)</f>
        <v>0</v>
      </c>
      <c r="H54" s="16" t="str">
        <f aca="false">IFERROR(G54/F54,"")</f>
        <v/>
      </c>
    </row>
    <row r="55" customFormat="false" ht="23.85" hidden="false" customHeight="false" outlineLevel="0" collapsed="false">
      <c r="A55" s="31" t="s">
        <v>65</v>
      </c>
      <c r="B55" s="31" t="s">
        <v>212</v>
      </c>
      <c r="C55" s="14" t="n">
        <f aca="false">COUNTIFS('Recruiter Activity'!$B$4:$B$804,A55,'Recruiter Activity'!$C$4:$C$804,B55)</f>
        <v>1</v>
      </c>
      <c r="D55" s="14" t="n">
        <f aca="false">SUMIFS('Recruiter Activity'!$E$4:$E$804,'Recruiter Activity'!$B$4:$B$804,A55,'Recruiter Activity'!$C$4:$C$804,B55)</f>
        <v>0</v>
      </c>
      <c r="E55" s="14" t="n">
        <f aca="false">SUMIFS('Recruiter Activity'!$F$4:$F$804,'Recruiter Activity'!$B$4:$B$804,A55,'Recruiter Activity'!$C$4:$C$804,B55)</f>
        <v>0</v>
      </c>
      <c r="F55" s="14" t="n">
        <f aca="false">SUMIFS('Recruiter Activity'!$G$4:$G$804,'Recruiter Activity'!$B$4:$B$804,A55,'Recruiter Activity'!$C$4:$C$804,B55)</f>
        <v>0</v>
      </c>
      <c r="G55" s="14" t="n">
        <f aca="false">SUMIFS('Recruiter Activity'!$H$4:$H$804,'Recruiter Activity'!$B$4:$B$804,A55,'Recruiter Activity'!$C$4:$C$804,B55)</f>
        <v>0</v>
      </c>
      <c r="H55" s="16" t="str">
        <f aca="false">IFERROR(G55/F55,"")</f>
        <v/>
      </c>
    </row>
    <row r="56" customFormat="false" ht="23.85" hidden="false" customHeight="false" outlineLevel="0" collapsed="false">
      <c r="A56" s="31" t="s">
        <v>65</v>
      </c>
      <c r="B56" s="31" t="s">
        <v>213</v>
      </c>
      <c r="C56" s="14" t="n">
        <f aca="false">COUNTIFS('Recruiter Activity'!$B$4:$B$804,A56,'Recruiter Activity'!$C$4:$C$804,B56)</f>
        <v>1</v>
      </c>
      <c r="D56" s="14" t="n">
        <f aca="false">SUMIFS('Recruiter Activity'!$E$4:$E$804,'Recruiter Activity'!$B$4:$B$804,A56,'Recruiter Activity'!$C$4:$C$804,B56)</f>
        <v>0</v>
      </c>
      <c r="E56" s="14" t="n">
        <f aca="false">SUMIFS('Recruiter Activity'!$F$4:$F$804,'Recruiter Activity'!$B$4:$B$804,A56,'Recruiter Activity'!$C$4:$C$804,B56)</f>
        <v>0</v>
      </c>
      <c r="F56" s="14" t="n">
        <f aca="false">SUMIFS('Recruiter Activity'!$G$4:$G$804,'Recruiter Activity'!$B$4:$B$804,A56,'Recruiter Activity'!$C$4:$C$804,B56)</f>
        <v>0</v>
      </c>
      <c r="G56" s="14" t="n">
        <f aca="false">SUMIFS('Recruiter Activity'!$H$4:$H$804,'Recruiter Activity'!$B$4:$B$804,A56,'Recruiter Activity'!$C$4:$C$804,B56)</f>
        <v>0</v>
      </c>
      <c r="H56" s="16" t="str">
        <f aca="false">IFERROR(G56/F56,"")</f>
        <v/>
      </c>
    </row>
    <row r="57" customFormat="false" ht="23.85" hidden="false" customHeight="false" outlineLevel="0" collapsed="false">
      <c r="A57" s="31" t="s">
        <v>65</v>
      </c>
      <c r="B57" s="31" t="s">
        <v>215</v>
      </c>
      <c r="C57" s="14" t="n">
        <f aca="false">COUNTIFS('Recruiter Activity'!$B$4:$B$804,A57,'Recruiter Activity'!$C$4:$C$804,B57)</f>
        <v>1</v>
      </c>
      <c r="D57" s="14" t="n">
        <f aca="false">SUMIFS('Recruiter Activity'!$E$4:$E$804,'Recruiter Activity'!$B$4:$B$804,A57,'Recruiter Activity'!$C$4:$C$804,B57)</f>
        <v>0</v>
      </c>
      <c r="E57" s="14" t="n">
        <f aca="false">SUMIFS('Recruiter Activity'!$F$4:$F$804,'Recruiter Activity'!$B$4:$B$804,A57,'Recruiter Activity'!$C$4:$C$804,B57)</f>
        <v>0</v>
      </c>
      <c r="F57" s="14" t="n">
        <f aca="false">SUMIFS('Recruiter Activity'!$G$4:$G$804,'Recruiter Activity'!$B$4:$B$804,A57,'Recruiter Activity'!$C$4:$C$804,B57)</f>
        <v>0</v>
      </c>
      <c r="G57" s="14" t="n">
        <f aca="false">SUMIFS('Recruiter Activity'!$H$4:$H$804,'Recruiter Activity'!$B$4:$B$804,A57,'Recruiter Activity'!$C$4:$C$804,B57)</f>
        <v>0</v>
      </c>
      <c r="H57" s="16" t="str">
        <f aca="false">IFERROR(G57/F57,"")</f>
        <v/>
      </c>
    </row>
    <row r="58" customFormat="false" ht="15" hidden="false" customHeight="false" outlineLevel="0" collapsed="false">
      <c r="A58" s="31" t="s">
        <v>65</v>
      </c>
      <c r="B58" s="31" t="s">
        <v>217</v>
      </c>
      <c r="C58" s="14" t="n">
        <f aca="false">COUNTIFS('Recruiter Activity'!$B$4:$B$804,A58,'Recruiter Activity'!$C$4:$C$804,B58)</f>
        <v>1</v>
      </c>
      <c r="D58" s="14" t="n">
        <f aca="false">SUMIFS('Recruiter Activity'!$E$4:$E$804,'Recruiter Activity'!$B$4:$B$804,A58,'Recruiter Activity'!$C$4:$C$804,B58)</f>
        <v>0</v>
      </c>
      <c r="E58" s="14" t="n">
        <f aca="false">SUMIFS('Recruiter Activity'!$F$4:$F$804,'Recruiter Activity'!$B$4:$B$804,A58,'Recruiter Activity'!$C$4:$C$804,B58)</f>
        <v>0</v>
      </c>
      <c r="F58" s="14" t="n">
        <f aca="false">SUMIFS('Recruiter Activity'!$G$4:$G$804,'Recruiter Activity'!$B$4:$B$804,A58,'Recruiter Activity'!$C$4:$C$804,B58)</f>
        <v>0</v>
      </c>
      <c r="G58" s="14" t="n">
        <f aca="false">SUMIFS('Recruiter Activity'!$H$4:$H$804,'Recruiter Activity'!$B$4:$B$804,A58,'Recruiter Activity'!$C$4:$C$804,B58)</f>
        <v>0</v>
      </c>
      <c r="H58" s="16" t="str">
        <f aca="false">IFERROR(G58/F58,"")</f>
        <v/>
      </c>
    </row>
    <row r="59" customFormat="false" ht="23.85" hidden="false" customHeight="false" outlineLevel="0" collapsed="false">
      <c r="A59" s="31" t="s">
        <v>65</v>
      </c>
      <c r="B59" s="31" t="s">
        <v>219</v>
      </c>
      <c r="C59" s="14" t="n">
        <f aca="false">COUNTIFS('Recruiter Activity'!$B$4:$B$804,A59,'Recruiter Activity'!$C$4:$C$804,B59)</f>
        <v>1</v>
      </c>
      <c r="D59" s="14" t="n">
        <f aca="false">SUMIFS('Recruiter Activity'!$E$4:$E$804,'Recruiter Activity'!$B$4:$B$804,A59,'Recruiter Activity'!$C$4:$C$804,B59)</f>
        <v>0</v>
      </c>
      <c r="E59" s="14" t="n">
        <f aca="false">SUMIFS('Recruiter Activity'!$F$4:$F$804,'Recruiter Activity'!$B$4:$B$804,A59,'Recruiter Activity'!$C$4:$C$804,B59)</f>
        <v>0</v>
      </c>
      <c r="F59" s="14" t="n">
        <f aca="false">SUMIFS('Recruiter Activity'!$G$4:$G$804,'Recruiter Activity'!$B$4:$B$804,A59,'Recruiter Activity'!$C$4:$C$804,B59)</f>
        <v>0</v>
      </c>
      <c r="G59" s="14" t="n">
        <f aca="false">SUMIFS('Recruiter Activity'!$H$4:$H$804,'Recruiter Activity'!$B$4:$B$804,A59,'Recruiter Activity'!$C$4:$C$804,B59)</f>
        <v>0</v>
      </c>
      <c r="H59" s="16" t="str">
        <f aca="false">IFERROR(G59/F59,"")</f>
        <v/>
      </c>
    </row>
    <row r="60" customFormat="false" ht="23.85" hidden="false" customHeight="false" outlineLevel="0" collapsed="false">
      <c r="A60" s="31" t="s">
        <v>65</v>
      </c>
      <c r="B60" s="31" t="s">
        <v>220</v>
      </c>
      <c r="C60" s="14" t="n">
        <f aca="false">COUNTIFS('Recruiter Activity'!$B$4:$B$804,A60,'Recruiter Activity'!$C$4:$C$804,B60)</f>
        <v>1</v>
      </c>
      <c r="D60" s="14" t="n">
        <f aca="false">SUMIFS('Recruiter Activity'!$E$4:$E$804,'Recruiter Activity'!$B$4:$B$804,A60,'Recruiter Activity'!$C$4:$C$804,B60)</f>
        <v>0</v>
      </c>
      <c r="E60" s="14" t="n">
        <f aca="false">SUMIFS('Recruiter Activity'!$F$4:$F$804,'Recruiter Activity'!$B$4:$B$804,A60,'Recruiter Activity'!$C$4:$C$804,B60)</f>
        <v>0</v>
      </c>
      <c r="F60" s="14" t="n">
        <f aca="false">SUMIFS('Recruiter Activity'!$G$4:$G$804,'Recruiter Activity'!$B$4:$B$804,A60,'Recruiter Activity'!$C$4:$C$804,B60)</f>
        <v>0</v>
      </c>
      <c r="G60" s="14" t="n">
        <f aca="false">SUMIFS('Recruiter Activity'!$H$4:$H$804,'Recruiter Activity'!$B$4:$B$804,A60,'Recruiter Activity'!$C$4:$C$804,B60)</f>
        <v>0</v>
      </c>
      <c r="H60" s="16" t="str">
        <f aca="false">IFERROR(G60/F60,"")</f>
        <v/>
      </c>
    </row>
    <row r="61" customFormat="false" ht="15" hidden="false" customHeight="false" outlineLevel="0" collapsed="false">
      <c r="A61" s="31" t="s">
        <v>65</v>
      </c>
      <c r="B61" s="31" t="s">
        <v>221</v>
      </c>
      <c r="C61" s="14" t="n">
        <f aca="false">COUNTIFS('Recruiter Activity'!$B$4:$B$804,A61,'Recruiter Activity'!$C$4:$C$804,B61)</f>
        <v>1</v>
      </c>
      <c r="D61" s="14" t="n">
        <f aca="false">SUMIFS('Recruiter Activity'!$E$4:$E$804,'Recruiter Activity'!$B$4:$B$804,A61,'Recruiter Activity'!$C$4:$C$804,B61)</f>
        <v>0</v>
      </c>
      <c r="E61" s="14" t="n">
        <f aca="false">SUMIFS('Recruiter Activity'!$F$4:$F$804,'Recruiter Activity'!$B$4:$B$804,A61,'Recruiter Activity'!$C$4:$C$804,B61)</f>
        <v>0</v>
      </c>
      <c r="F61" s="14" t="n">
        <f aca="false">SUMIFS('Recruiter Activity'!$G$4:$G$804,'Recruiter Activity'!$B$4:$B$804,A61,'Recruiter Activity'!$C$4:$C$804,B61)</f>
        <v>0</v>
      </c>
      <c r="G61" s="14" t="n">
        <f aca="false">SUMIFS('Recruiter Activity'!$H$4:$H$804,'Recruiter Activity'!$B$4:$B$804,A61,'Recruiter Activity'!$C$4:$C$804,B61)</f>
        <v>0</v>
      </c>
      <c r="H61" s="16" t="str">
        <f aca="false">IFERROR(G61/F61,"")</f>
        <v/>
      </c>
    </row>
    <row r="62" customFormat="false" ht="23.85" hidden="false" customHeight="false" outlineLevel="0" collapsed="false">
      <c r="A62" s="31" t="s">
        <v>65</v>
      </c>
      <c r="B62" s="31" t="s">
        <v>222</v>
      </c>
      <c r="C62" s="14" t="n">
        <f aca="false">COUNTIFS('Recruiter Activity'!$B$4:$B$804,A62,'Recruiter Activity'!$C$4:$C$804,B62)</f>
        <v>1</v>
      </c>
      <c r="D62" s="14" t="n">
        <f aca="false">SUMIFS('Recruiter Activity'!$E$4:$E$804,'Recruiter Activity'!$B$4:$B$804,A62,'Recruiter Activity'!$C$4:$C$804,B62)</f>
        <v>0</v>
      </c>
      <c r="E62" s="14" t="n">
        <f aca="false">SUMIFS('Recruiter Activity'!$F$4:$F$804,'Recruiter Activity'!$B$4:$B$804,A62,'Recruiter Activity'!$C$4:$C$804,B62)</f>
        <v>0</v>
      </c>
      <c r="F62" s="14" t="n">
        <f aca="false">SUMIFS('Recruiter Activity'!$G$4:$G$804,'Recruiter Activity'!$B$4:$B$804,A62,'Recruiter Activity'!$C$4:$C$804,B62)</f>
        <v>0</v>
      </c>
      <c r="G62" s="14" t="n">
        <f aca="false">SUMIFS('Recruiter Activity'!$H$4:$H$804,'Recruiter Activity'!$B$4:$B$804,A62,'Recruiter Activity'!$C$4:$C$804,B62)</f>
        <v>0</v>
      </c>
      <c r="H62" s="16" t="str">
        <f aca="false">IFERROR(G62/F62,"")</f>
        <v/>
      </c>
    </row>
    <row r="63" customFormat="false" ht="23.85" hidden="false" customHeight="false" outlineLevel="0" collapsed="false">
      <c r="A63" s="31" t="s">
        <v>65</v>
      </c>
      <c r="B63" s="31" t="s">
        <v>224</v>
      </c>
      <c r="C63" s="14" t="n">
        <f aca="false">COUNTIFS('Recruiter Activity'!$B$4:$B$804,A63,'Recruiter Activity'!$C$4:$C$804,B63)</f>
        <v>1</v>
      </c>
      <c r="D63" s="14" t="n">
        <f aca="false">SUMIFS('Recruiter Activity'!$E$4:$E$804,'Recruiter Activity'!$B$4:$B$804,A63,'Recruiter Activity'!$C$4:$C$804,B63)</f>
        <v>0</v>
      </c>
      <c r="E63" s="14" t="n">
        <f aca="false">SUMIFS('Recruiter Activity'!$F$4:$F$804,'Recruiter Activity'!$B$4:$B$804,A63,'Recruiter Activity'!$C$4:$C$804,B63)</f>
        <v>0</v>
      </c>
      <c r="F63" s="14" t="n">
        <f aca="false">SUMIFS('Recruiter Activity'!$G$4:$G$804,'Recruiter Activity'!$B$4:$B$804,A63,'Recruiter Activity'!$C$4:$C$804,B63)</f>
        <v>0</v>
      </c>
      <c r="G63" s="14" t="n">
        <f aca="false">SUMIFS('Recruiter Activity'!$H$4:$H$804,'Recruiter Activity'!$B$4:$B$804,A63,'Recruiter Activity'!$C$4:$C$804,B63)</f>
        <v>0</v>
      </c>
      <c r="H63" s="16" t="str">
        <f aca="false">IFERROR(G63/F63,"")</f>
        <v/>
      </c>
    </row>
    <row r="64" customFormat="false" ht="23.85" hidden="false" customHeight="false" outlineLevel="0" collapsed="false">
      <c r="A64" s="31" t="s">
        <v>65</v>
      </c>
      <c r="B64" s="31" t="s">
        <v>226</v>
      </c>
      <c r="C64" s="14" t="n">
        <f aca="false">COUNTIFS('Recruiter Activity'!$B$4:$B$804,A64,'Recruiter Activity'!$C$4:$C$804,B64)</f>
        <v>1</v>
      </c>
      <c r="D64" s="14" t="n">
        <f aca="false">SUMIFS('Recruiter Activity'!$E$4:$E$804,'Recruiter Activity'!$B$4:$B$804,A64,'Recruiter Activity'!$C$4:$C$804,B64)</f>
        <v>0</v>
      </c>
      <c r="E64" s="14" t="n">
        <f aca="false">SUMIFS('Recruiter Activity'!$F$4:$F$804,'Recruiter Activity'!$B$4:$B$804,A64,'Recruiter Activity'!$C$4:$C$804,B64)</f>
        <v>0</v>
      </c>
      <c r="F64" s="14" t="n">
        <f aca="false">SUMIFS('Recruiter Activity'!$G$4:$G$804,'Recruiter Activity'!$B$4:$B$804,A64,'Recruiter Activity'!$C$4:$C$804,B64)</f>
        <v>0</v>
      </c>
      <c r="G64" s="14" t="n">
        <f aca="false">SUMIFS('Recruiter Activity'!$H$4:$H$804,'Recruiter Activity'!$B$4:$B$804,A64,'Recruiter Activity'!$C$4:$C$804,B64)</f>
        <v>0</v>
      </c>
      <c r="H64" s="16" t="str">
        <f aca="false">IFERROR(G64/F64,"")</f>
        <v/>
      </c>
    </row>
    <row r="65" customFormat="false" ht="15" hidden="false" customHeight="false" outlineLevel="0" collapsed="false">
      <c r="A65" s="31" t="s">
        <v>65</v>
      </c>
      <c r="B65" s="31" t="s">
        <v>227</v>
      </c>
      <c r="C65" s="14" t="n">
        <f aca="false">COUNTIFS('Recruiter Activity'!$B$4:$B$804,A65,'Recruiter Activity'!$C$4:$C$804,B65)</f>
        <v>1</v>
      </c>
      <c r="D65" s="14" t="n">
        <f aca="false">SUMIFS('Recruiter Activity'!$E$4:$E$804,'Recruiter Activity'!$B$4:$B$804,A65,'Recruiter Activity'!$C$4:$C$804,B65)</f>
        <v>0</v>
      </c>
      <c r="E65" s="14" t="n">
        <f aca="false">SUMIFS('Recruiter Activity'!$F$4:$F$804,'Recruiter Activity'!$B$4:$B$804,A65,'Recruiter Activity'!$C$4:$C$804,B65)</f>
        <v>0</v>
      </c>
      <c r="F65" s="14" t="n">
        <f aca="false">SUMIFS('Recruiter Activity'!$G$4:$G$804,'Recruiter Activity'!$B$4:$B$804,A65,'Recruiter Activity'!$C$4:$C$804,B65)</f>
        <v>0</v>
      </c>
      <c r="G65" s="14" t="n">
        <f aca="false">SUMIFS('Recruiter Activity'!$H$4:$H$804,'Recruiter Activity'!$B$4:$B$804,A65,'Recruiter Activity'!$C$4:$C$804,B65)</f>
        <v>0</v>
      </c>
      <c r="H65" s="16" t="str">
        <f aca="false">IFERROR(G65/F65,"")</f>
        <v/>
      </c>
    </row>
    <row r="66" customFormat="false" ht="23.85" hidden="false" customHeight="false" outlineLevel="0" collapsed="false">
      <c r="A66" s="31" t="s">
        <v>65</v>
      </c>
      <c r="B66" s="31" t="s">
        <v>228</v>
      </c>
      <c r="C66" s="14" t="n">
        <f aca="false">COUNTIFS('Recruiter Activity'!$B$4:$B$804,A66,'Recruiter Activity'!$C$4:$C$804,B66)</f>
        <v>1</v>
      </c>
      <c r="D66" s="14" t="n">
        <f aca="false">SUMIFS('Recruiter Activity'!$E$4:$E$804,'Recruiter Activity'!$B$4:$B$804,A66,'Recruiter Activity'!$C$4:$C$804,B66)</f>
        <v>0</v>
      </c>
      <c r="E66" s="14" t="n">
        <f aca="false">SUMIFS('Recruiter Activity'!$F$4:$F$804,'Recruiter Activity'!$B$4:$B$804,A66,'Recruiter Activity'!$C$4:$C$804,B66)</f>
        <v>0</v>
      </c>
      <c r="F66" s="14" t="n">
        <f aca="false">SUMIFS('Recruiter Activity'!$G$4:$G$804,'Recruiter Activity'!$B$4:$B$804,A66,'Recruiter Activity'!$C$4:$C$804,B66)</f>
        <v>0</v>
      </c>
      <c r="G66" s="14" t="n">
        <f aca="false">SUMIFS('Recruiter Activity'!$H$4:$H$804,'Recruiter Activity'!$B$4:$B$804,A66,'Recruiter Activity'!$C$4:$C$804,B66)</f>
        <v>0</v>
      </c>
      <c r="H66" s="16" t="str">
        <f aca="false">IFERROR(G66/F66,"")</f>
        <v/>
      </c>
    </row>
    <row r="67" customFormat="false" ht="23.85" hidden="false" customHeight="false" outlineLevel="0" collapsed="false">
      <c r="A67" s="31" t="s">
        <v>65</v>
      </c>
      <c r="B67" s="31" t="s">
        <v>229</v>
      </c>
      <c r="C67" s="14" t="n">
        <f aca="false">COUNTIFS('Recruiter Activity'!$B$4:$B$804,A67,'Recruiter Activity'!$C$4:$C$804,B67)</f>
        <v>1</v>
      </c>
      <c r="D67" s="14" t="n">
        <f aca="false">SUMIFS('Recruiter Activity'!$E$4:$E$804,'Recruiter Activity'!$B$4:$B$804,A67,'Recruiter Activity'!$C$4:$C$804,B67)</f>
        <v>0</v>
      </c>
      <c r="E67" s="14" t="n">
        <f aca="false">SUMIFS('Recruiter Activity'!$F$4:$F$804,'Recruiter Activity'!$B$4:$B$804,A67,'Recruiter Activity'!$C$4:$C$804,B67)</f>
        <v>0</v>
      </c>
      <c r="F67" s="14" t="n">
        <f aca="false">SUMIFS('Recruiter Activity'!$G$4:$G$804,'Recruiter Activity'!$B$4:$B$804,A67,'Recruiter Activity'!$C$4:$C$804,B67)</f>
        <v>0</v>
      </c>
      <c r="G67" s="14" t="n">
        <f aca="false">SUMIFS('Recruiter Activity'!$H$4:$H$804,'Recruiter Activity'!$B$4:$B$804,A67,'Recruiter Activity'!$C$4:$C$804,B67)</f>
        <v>0</v>
      </c>
      <c r="H67" s="16" t="str">
        <f aca="false">IFERROR(G67/F67,"")</f>
        <v/>
      </c>
    </row>
    <row r="68" customFormat="false" ht="23.85" hidden="false" customHeight="false" outlineLevel="0" collapsed="false">
      <c r="A68" s="31" t="s">
        <v>65</v>
      </c>
      <c r="B68" s="31" t="s">
        <v>230</v>
      </c>
      <c r="C68" s="14" t="n">
        <f aca="false">COUNTIFS('Recruiter Activity'!$B$4:$B$804,A68,'Recruiter Activity'!$C$4:$C$804,B68)</f>
        <v>1</v>
      </c>
      <c r="D68" s="14" t="n">
        <f aca="false">SUMIFS('Recruiter Activity'!$E$4:$E$804,'Recruiter Activity'!$B$4:$B$804,A68,'Recruiter Activity'!$C$4:$C$804,B68)</f>
        <v>0</v>
      </c>
      <c r="E68" s="14" t="n">
        <f aca="false">SUMIFS('Recruiter Activity'!$F$4:$F$804,'Recruiter Activity'!$B$4:$B$804,A68,'Recruiter Activity'!$C$4:$C$804,B68)</f>
        <v>0</v>
      </c>
      <c r="F68" s="14" t="n">
        <f aca="false">SUMIFS('Recruiter Activity'!$G$4:$G$804,'Recruiter Activity'!$B$4:$B$804,A68,'Recruiter Activity'!$C$4:$C$804,B68)</f>
        <v>0</v>
      </c>
      <c r="G68" s="14" t="n">
        <f aca="false">SUMIFS('Recruiter Activity'!$H$4:$H$804,'Recruiter Activity'!$B$4:$B$804,A68,'Recruiter Activity'!$C$4:$C$804,B68)</f>
        <v>0</v>
      </c>
      <c r="H68" s="16" t="str">
        <f aca="false">IFERROR(G68/F68,"")</f>
        <v/>
      </c>
    </row>
    <row r="69" customFormat="false" ht="15" hidden="false" customHeight="false" outlineLevel="0" collapsed="false">
      <c r="A69" s="31" t="s">
        <v>65</v>
      </c>
      <c r="B69" s="31" t="s">
        <v>231</v>
      </c>
      <c r="C69" s="14" t="n">
        <f aca="false">COUNTIFS('Recruiter Activity'!$B$4:$B$804,A69,'Recruiter Activity'!$C$4:$C$804,B69)</f>
        <v>1</v>
      </c>
      <c r="D69" s="14" t="n">
        <f aca="false">SUMIFS('Recruiter Activity'!$E$4:$E$804,'Recruiter Activity'!$B$4:$B$804,A69,'Recruiter Activity'!$C$4:$C$804,B69)</f>
        <v>0</v>
      </c>
      <c r="E69" s="14" t="n">
        <f aca="false">SUMIFS('Recruiter Activity'!$F$4:$F$804,'Recruiter Activity'!$B$4:$B$804,A69,'Recruiter Activity'!$C$4:$C$804,B69)</f>
        <v>0</v>
      </c>
      <c r="F69" s="14" t="n">
        <f aca="false">SUMIFS('Recruiter Activity'!$G$4:$G$804,'Recruiter Activity'!$B$4:$B$804,A69,'Recruiter Activity'!$C$4:$C$804,B69)</f>
        <v>0</v>
      </c>
      <c r="G69" s="14" t="n">
        <f aca="false">SUMIFS('Recruiter Activity'!$H$4:$H$804,'Recruiter Activity'!$B$4:$B$804,A69,'Recruiter Activity'!$C$4:$C$804,B69)</f>
        <v>0</v>
      </c>
      <c r="H69" s="16" t="str">
        <f aca="false">IFERROR(G69/F69,"")</f>
        <v/>
      </c>
    </row>
    <row r="70" customFormat="false" ht="23.85" hidden="false" customHeight="false" outlineLevel="0" collapsed="false">
      <c r="A70" s="31" t="s">
        <v>65</v>
      </c>
      <c r="B70" s="31" t="s">
        <v>232</v>
      </c>
      <c r="C70" s="14" t="n">
        <f aca="false">COUNTIFS('Recruiter Activity'!$B$4:$B$804,A70,'Recruiter Activity'!$C$4:$C$804,B70)</f>
        <v>1</v>
      </c>
      <c r="D70" s="14" t="n">
        <f aca="false">SUMIFS('Recruiter Activity'!$E$4:$E$804,'Recruiter Activity'!$B$4:$B$804,A70,'Recruiter Activity'!$C$4:$C$804,B70)</f>
        <v>0</v>
      </c>
      <c r="E70" s="14" t="n">
        <f aca="false">SUMIFS('Recruiter Activity'!$F$4:$F$804,'Recruiter Activity'!$B$4:$B$804,A70,'Recruiter Activity'!$C$4:$C$804,B70)</f>
        <v>0</v>
      </c>
      <c r="F70" s="14" t="n">
        <f aca="false">SUMIFS('Recruiter Activity'!$G$4:$G$804,'Recruiter Activity'!$B$4:$B$804,A70,'Recruiter Activity'!$C$4:$C$804,B70)</f>
        <v>0</v>
      </c>
      <c r="G70" s="14" t="n">
        <f aca="false">SUMIFS('Recruiter Activity'!$H$4:$H$804,'Recruiter Activity'!$B$4:$B$804,A70,'Recruiter Activity'!$C$4:$C$804,B70)</f>
        <v>0</v>
      </c>
      <c r="H70" s="16" t="str">
        <f aca="false">IFERROR(G70/F70,"")</f>
        <v/>
      </c>
    </row>
    <row r="71" customFormat="false" ht="23.85" hidden="false" customHeight="false" outlineLevel="0" collapsed="false">
      <c r="A71" s="31" t="s">
        <v>65</v>
      </c>
      <c r="B71" s="31" t="s">
        <v>233</v>
      </c>
      <c r="C71" s="14" t="n">
        <f aca="false">COUNTIFS('Recruiter Activity'!$B$4:$B$804,A71,'Recruiter Activity'!$C$4:$C$804,B71)</f>
        <v>1</v>
      </c>
      <c r="D71" s="14" t="n">
        <f aca="false">SUMIFS('Recruiter Activity'!$E$4:$E$804,'Recruiter Activity'!$B$4:$B$804,A71,'Recruiter Activity'!$C$4:$C$804,B71)</f>
        <v>0</v>
      </c>
      <c r="E71" s="14" t="n">
        <f aca="false">SUMIFS('Recruiter Activity'!$F$4:$F$804,'Recruiter Activity'!$B$4:$B$804,A71,'Recruiter Activity'!$C$4:$C$804,B71)</f>
        <v>0</v>
      </c>
      <c r="F71" s="14" t="n">
        <f aca="false">SUMIFS('Recruiter Activity'!$G$4:$G$804,'Recruiter Activity'!$B$4:$B$804,A71,'Recruiter Activity'!$C$4:$C$804,B71)</f>
        <v>0</v>
      </c>
      <c r="G71" s="14" t="n">
        <f aca="false">SUMIFS('Recruiter Activity'!$H$4:$H$804,'Recruiter Activity'!$B$4:$B$804,A71,'Recruiter Activity'!$C$4:$C$804,B71)</f>
        <v>0</v>
      </c>
      <c r="H71" s="16" t="str">
        <f aca="false">IFERROR(G71/F71,"")</f>
        <v/>
      </c>
    </row>
    <row r="72" customFormat="false" ht="23.85" hidden="false" customHeight="false" outlineLevel="0" collapsed="false">
      <c r="A72" s="31" t="s">
        <v>65</v>
      </c>
      <c r="B72" s="31" t="s">
        <v>234</v>
      </c>
      <c r="C72" s="14" t="n">
        <f aca="false">COUNTIFS('Recruiter Activity'!$B$4:$B$804,A72,'Recruiter Activity'!$C$4:$C$804,B72)</f>
        <v>1</v>
      </c>
      <c r="D72" s="14" t="n">
        <f aca="false">SUMIFS('Recruiter Activity'!$E$4:$E$804,'Recruiter Activity'!$B$4:$B$804,A72,'Recruiter Activity'!$C$4:$C$804,B72)</f>
        <v>0</v>
      </c>
      <c r="E72" s="14" t="n">
        <f aca="false">SUMIFS('Recruiter Activity'!$F$4:$F$804,'Recruiter Activity'!$B$4:$B$804,A72,'Recruiter Activity'!$C$4:$C$804,B72)</f>
        <v>0</v>
      </c>
      <c r="F72" s="14" t="n">
        <f aca="false">SUMIFS('Recruiter Activity'!$G$4:$G$804,'Recruiter Activity'!$B$4:$B$804,A72,'Recruiter Activity'!$C$4:$C$804,B72)</f>
        <v>0</v>
      </c>
      <c r="G72" s="14" t="n">
        <f aca="false">SUMIFS('Recruiter Activity'!$H$4:$H$804,'Recruiter Activity'!$B$4:$B$804,A72,'Recruiter Activity'!$C$4:$C$804,B72)</f>
        <v>0</v>
      </c>
      <c r="H72" s="16" t="str">
        <f aca="false">IFERROR(G72/F72,"")</f>
        <v/>
      </c>
    </row>
    <row r="73" customFormat="false" ht="15" hidden="false" customHeight="false" outlineLevel="0" collapsed="false">
      <c r="A73" s="31" t="s">
        <v>65</v>
      </c>
      <c r="B73" s="31" t="s">
        <v>235</v>
      </c>
      <c r="C73" s="14" t="n">
        <f aca="false">COUNTIFS('Recruiter Activity'!$B$4:$B$804,A73,'Recruiter Activity'!$C$4:$C$804,B73)</f>
        <v>1</v>
      </c>
      <c r="D73" s="14" t="n">
        <f aca="false">SUMIFS('Recruiter Activity'!$E$4:$E$804,'Recruiter Activity'!$B$4:$B$804,A73,'Recruiter Activity'!$C$4:$C$804,B73)</f>
        <v>0</v>
      </c>
      <c r="E73" s="14" t="n">
        <f aca="false">SUMIFS('Recruiter Activity'!$F$4:$F$804,'Recruiter Activity'!$B$4:$B$804,A73,'Recruiter Activity'!$C$4:$C$804,B73)</f>
        <v>0</v>
      </c>
      <c r="F73" s="14" t="n">
        <f aca="false">SUMIFS('Recruiter Activity'!$G$4:$G$804,'Recruiter Activity'!$B$4:$B$804,A73,'Recruiter Activity'!$C$4:$C$804,B73)</f>
        <v>0</v>
      </c>
      <c r="G73" s="14" t="n">
        <f aca="false">SUMIFS('Recruiter Activity'!$H$4:$H$804,'Recruiter Activity'!$B$4:$B$804,A73,'Recruiter Activity'!$C$4:$C$804,B73)</f>
        <v>0</v>
      </c>
      <c r="H73" s="16" t="str">
        <f aca="false">IFERROR(G73/F73,"")</f>
        <v/>
      </c>
    </row>
    <row r="74" customFormat="false" ht="15" hidden="false" customHeight="false" outlineLevel="0" collapsed="false">
      <c r="A74" s="31" t="s">
        <v>65</v>
      </c>
      <c r="B74" s="31" t="s">
        <v>236</v>
      </c>
      <c r="C74" s="14" t="n">
        <f aca="false">COUNTIFS('Recruiter Activity'!$B$4:$B$804,A74,'Recruiter Activity'!$C$4:$C$804,B74)</f>
        <v>1</v>
      </c>
      <c r="D74" s="14" t="n">
        <f aca="false">SUMIFS('Recruiter Activity'!$E$4:$E$804,'Recruiter Activity'!$B$4:$B$804,A74,'Recruiter Activity'!$C$4:$C$804,B74)</f>
        <v>0</v>
      </c>
      <c r="E74" s="14" t="n">
        <f aca="false">SUMIFS('Recruiter Activity'!$F$4:$F$804,'Recruiter Activity'!$B$4:$B$804,A74,'Recruiter Activity'!$C$4:$C$804,B74)</f>
        <v>0</v>
      </c>
      <c r="F74" s="14" t="n">
        <f aca="false">SUMIFS('Recruiter Activity'!$G$4:$G$804,'Recruiter Activity'!$B$4:$B$804,A74,'Recruiter Activity'!$C$4:$C$804,B74)</f>
        <v>0</v>
      </c>
      <c r="G74" s="14" t="n">
        <f aca="false">SUMIFS('Recruiter Activity'!$H$4:$H$804,'Recruiter Activity'!$B$4:$B$804,A74,'Recruiter Activity'!$C$4:$C$804,B74)</f>
        <v>0</v>
      </c>
      <c r="H74" s="16" t="str">
        <f aca="false">IFERROR(G74/F74,"")</f>
        <v/>
      </c>
    </row>
    <row r="75" customFormat="false" ht="23.85" hidden="false" customHeight="false" outlineLevel="0" collapsed="false">
      <c r="A75" s="31" t="s">
        <v>65</v>
      </c>
      <c r="B75" s="31" t="s">
        <v>238</v>
      </c>
      <c r="C75" s="14" t="n">
        <f aca="false">COUNTIFS('Recruiter Activity'!$B$4:$B$804,A75,'Recruiter Activity'!$C$4:$C$804,B75)</f>
        <v>1</v>
      </c>
      <c r="D75" s="14" t="n">
        <f aca="false">SUMIFS('Recruiter Activity'!$E$4:$E$804,'Recruiter Activity'!$B$4:$B$804,A75,'Recruiter Activity'!$C$4:$C$804,B75)</f>
        <v>0</v>
      </c>
      <c r="E75" s="14" t="n">
        <f aca="false">SUMIFS('Recruiter Activity'!$F$4:$F$804,'Recruiter Activity'!$B$4:$B$804,A75,'Recruiter Activity'!$C$4:$C$804,B75)</f>
        <v>0</v>
      </c>
      <c r="F75" s="14" t="n">
        <f aca="false">SUMIFS('Recruiter Activity'!$G$4:$G$804,'Recruiter Activity'!$B$4:$B$804,A75,'Recruiter Activity'!$C$4:$C$804,B75)</f>
        <v>0</v>
      </c>
      <c r="G75" s="14" t="n">
        <f aca="false">SUMIFS('Recruiter Activity'!$H$4:$H$804,'Recruiter Activity'!$B$4:$B$804,A75,'Recruiter Activity'!$C$4:$C$804,B75)</f>
        <v>0</v>
      </c>
      <c r="H75" s="16" t="str">
        <f aca="false">IFERROR(G75/F75,"")</f>
        <v/>
      </c>
    </row>
    <row r="76" customFormat="false" ht="23.85" hidden="false" customHeight="false" outlineLevel="0" collapsed="false">
      <c r="A76" s="31" t="s">
        <v>65</v>
      </c>
      <c r="B76" s="31" t="s">
        <v>240</v>
      </c>
      <c r="C76" s="14" t="n">
        <f aca="false">COUNTIFS('Recruiter Activity'!$B$4:$B$804,A76,'Recruiter Activity'!$C$4:$C$804,B76)</f>
        <v>1</v>
      </c>
      <c r="D76" s="14" t="n">
        <f aca="false">SUMIFS('Recruiter Activity'!$E$4:$E$804,'Recruiter Activity'!$B$4:$B$804,A76,'Recruiter Activity'!$C$4:$C$804,B76)</f>
        <v>0</v>
      </c>
      <c r="E76" s="14" t="n">
        <f aca="false">SUMIFS('Recruiter Activity'!$F$4:$F$804,'Recruiter Activity'!$B$4:$B$804,A76,'Recruiter Activity'!$C$4:$C$804,B76)</f>
        <v>0</v>
      </c>
      <c r="F76" s="14" t="n">
        <f aca="false">SUMIFS('Recruiter Activity'!$G$4:$G$804,'Recruiter Activity'!$B$4:$B$804,A76,'Recruiter Activity'!$C$4:$C$804,B76)</f>
        <v>0</v>
      </c>
      <c r="G76" s="14" t="n">
        <f aca="false">SUMIFS('Recruiter Activity'!$H$4:$H$804,'Recruiter Activity'!$B$4:$B$804,A76,'Recruiter Activity'!$C$4:$C$804,B76)</f>
        <v>0</v>
      </c>
      <c r="H76" s="16" t="str">
        <f aca="false">IFERROR(G76/F76,"")</f>
        <v/>
      </c>
    </row>
    <row r="77" customFormat="false" ht="15" hidden="false" customHeight="false" outlineLevel="0" collapsed="false">
      <c r="A77" s="31" t="s">
        <v>65</v>
      </c>
      <c r="B77" s="31" t="s">
        <v>242</v>
      </c>
      <c r="C77" s="14" t="n">
        <f aca="false">COUNTIFS('Recruiter Activity'!$B$4:$B$804,A77,'Recruiter Activity'!$C$4:$C$804,B77)</f>
        <v>1</v>
      </c>
      <c r="D77" s="14" t="n">
        <f aca="false">SUMIFS('Recruiter Activity'!$E$4:$E$804,'Recruiter Activity'!$B$4:$B$804,A77,'Recruiter Activity'!$C$4:$C$804,B77)</f>
        <v>0</v>
      </c>
      <c r="E77" s="14" t="n">
        <f aca="false">SUMIFS('Recruiter Activity'!$F$4:$F$804,'Recruiter Activity'!$B$4:$B$804,A77,'Recruiter Activity'!$C$4:$C$804,B77)</f>
        <v>0</v>
      </c>
      <c r="F77" s="14" t="n">
        <f aca="false">SUMIFS('Recruiter Activity'!$G$4:$G$804,'Recruiter Activity'!$B$4:$B$804,A77,'Recruiter Activity'!$C$4:$C$804,B77)</f>
        <v>0</v>
      </c>
      <c r="G77" s="14" t="n">
        <f aca="false">SUMIFS('Recruiter Activity'!$H$4:$H$804,'Recruiter Activity'!$B$4:$B$804,A77,'Recruiter Activity'!$C$4:$C$804,B77)</f>
        <v>0</v>
      </c>
      <c r="H77" s="16" t="str">
        <f aca="false">IFERROR(G77/F77,"")</f>
        <v/>
      </c>
    </row>
    <row r="78" customFormat="false" ht="23.85" hidden="false" customHeight="false" outlineLevel="0" collapsed="false">
      <c r="A78" s="31" t="s">
        <v>65</v>
      </c>
      <c r="B78" s="31" t="s">
        <v>244</v>
      </c>
      <c r="C78" s="14" t="n">
        <f aca="false">COUNTIFS('Recruiter Activity'!$B$4:$B$804,A78,'Recruiter Activity'!$C$4:$C$804,B78)</f>
        <v>1</v>
      </c>
      <c r="D78" s="14" t="n">
        <f aca="false">SUMIFS('Recruiter Activity'!$E$4:$E$804,'Recruiter Activity'!$B$4:$B$804,A78,'Recruiter Activity'!$C$4:$C$804,B78)</f>
        <v>0</v>
      </c>
      <c r="E78" s="14" t="n">
        <f aca="false">SUMIFS('Recruiter Activity'!$F$4:$F$804,'Recruiter Activity'!$B$4:$B$804,A78,'Recruiter Activity'!$C$4:$C$804,B78)</f>
        <v>0</v>
      </c>
      <c r="F78" s="14" t="n">
        <f aca="false">SUMIFS('Recruiter Activity'!$G$4:$G$804,'Recruiter Activity'!$B$4:$B$804,A78,'Recruiter Activity'!$C$4:$C$804,B78)</f>
        <v>0</v>
      </c>
      <c r="G78" s="14" t="n">
        <f aca="false">SUMIFS('Recruiter Activity'!$H$4:$H$804,'Recruiter Activity'!$B$4:$B$804,A78,'Recruiter Activity'!$C$4:$C$804,B78)</f>
        <v>0</v>
      </c>
      <c r="H78" s="16" t="str">
        <f aca="false">IFERROR(G78/F78,"")</f>
        <v/>
      </c>
    </row>
    <row r="79" customFormat="false" ht="23.85" hidden="false" customHeight="false" outlineLevel="0" collapsed="false">
      <c r="A79" s="31" t="s">
        <v>65</v>
      </c>
      <c r="B79" s="31" t="s">
        <v>245</v>
      </c>
      <c r="C79" s="14" t="n">
        <f aca="false">COUNTIFS('Recruiter Activity'!$B$4:$B$804,A79,'Recruiter Activity'!$C$4:$C$804,B79)</f>
        <v>1</v>
      </c>
      <c r="D79" s="14" t="n">
        <f aca="false">SUMIFS('Recruiter Activity'!$E$4:$E$804,'Recruiter Activity'!$B$4:$B$804,A79,'Recruiter Activity'!$C$4:$C$804,B79)</f>
        <v>0</v>
      </c>
      <c r="E79" s="14" t="n">
        <f aca="false">SUMIFS('Recruiter Activity'!$F$4:$F$804,'Recruiter Activity'!$B$4:$B$804,A79,'Recruiter Activity'!$C$4:$C$804,B79)</f>
        <v>0</v>
      </c>
      <c r="F79" s="14" t="n">
        <f aca="false">SUMIFS('Recruiter Activity'!$G$4:$G$804,'Recruiter Activity'!$B$4:$B$804,A79,'Recruiter Activity'!$C$4:$C$804,B79)</f>
        <v>0</v>
      </c>
      <c r="G79" s="14" t="n">
        <f aca="false">SUMIFS('Recruiter Activity'!$H$4:$H$804,'Recruiter Activity'!$B$4:$B$804,A79,'Recruiter Activity'!$C$4:$C$804,B79)</f>
        <v>0</v>
      </c>
      <c r="H79" s="16" t="str">
        <f aca="false">IFERROR(G79/F79,"")</f>
        <v/>
      </c>
    </row>
    <row r="80" customFormat="false" ht="23.85" hidden="false" customHeight="false" outlineLevel="0" collapsed="false">
      <c r="A80" s="31" t="s">
        <v>65</v>
      </c>
      <c r="B80" s="31" t="s">
        <v>247</v>
      </c>
      <c r="C80" s="14" t="n">
        <f aca="false">COUNTIFS('Recruiter Activity'!$B$4:$B$804,A80,'Recruiter Activity'!$C$4:$C$804,B80)</f>
        <v>1</v>
      </c>
      <c r="D80" s="14" t="n">
        <f aca="false">SUMIFS('Recruiter Activity'!$E$4:$E$804,'Recruiter Activity'!$B$4:$B$804,A80,'Recruiter Activity'!$C$4:$C$804,B80)</f>
        <v>0</v>
      </c>
      <c r="E80" s="14" t="n">
        <f aca="false">SUMIFS('Recruiter Activity'!$F$4:$F$804,'Recruiter Activity'!$B$4:$B$804,A80,'Recruiter Activity'!$C$4:$C$804,B80)</f>
        <v>0</v>
      </c>
      <c r="F80" s="14" t="n">
        <f aca="false">SUMIFS('Recruiter Activity'!$G$4:$G$804,'Recruiter Activity'!$B$4:$B$804,A80,'Recruiter Activity'!$C$4:$C$804,B80)</f>
        <v>0</v>
      </c>
      <c r="G80" s="14" t="n">
        <f aca="false">SUMIFS('Recruiter Activity'!$H$4:$H$804,'Recruiter Activity'!$B$4:$B$804,A80,'Recruiter Activity'!$C$4:$C$804,B80)</f>
        <v>0</v>
      </c>
      <c r="H80" s="16" t="str">
        <f aca="false">IFERROR(G80/F80,"")</f>
        <v/>
      </c>
    </row>
    <row r="81" customFormat="false" ht="23.85" hidden="false" customHeight="false" outlineLevel="0" collapsed="false">
      <c r="A81" s="31" t="s">
        <v>65</v>
      </c>
      <c r="B81" s="31" t="s">
        <v>249</v>
      </c>
      <c r="C81" s="14" t="n">
        <f aca="false">COUNTIFS('Recruiter Activity'!$B$4:$B$804,A81,'Recruiter Activity'!$C$4:$C$804,B81)</f>
        <v>1</v>
      </c>
      <c r="D81" s="14" t="n">
        <f aca="false">SUMIFS('Recruiter Activity'!$E$4:$E$804,'Recruiter Activity'!$B$4:$B$804,A81,'Recruiter Activity'!$C$4:$C$804,B81)</f>
        <v>0</v>
      </c>
      <c r="E81" s="14" t="n">
        <f aca="false">SUMIFS('Recruiter Activity'!$F$4:$F$804,'Recruiter Activity'!$B$4:$B$804,A81,'Recruiter Activity'!$C$4:$C$804,B81)</f>
        <v>0</v>
      </c>
      <c r="F81" s="14" t="n">
        <f aca="false">SUMIFS('Recruiter Activity'!$G$4:$G$804,'Recruiter Activity'!$B$4:$B$804,A81,'Recruiter Activity'!$C$4:$C$804,B81)</f>
        <v>0</v>
      </c>
      <c r="G81" s="14" t="n">
        <f aca="false">SUMIFS('Recruiter Activity'!$H$4:$H$804,'Recruiter Activity'!$B$4:$B$804,A81,'Recruiter Activity'!$C$4:$C$804,B81)</f>
        <v>0</v>
      </c>
      <c r="H81" s="16" t="str">
        <f aca="false">IFERROR(G81/F81,"")</f>
        <v/>
      </c>
    </row>
    <row r="82" customFormat="false" ht="15" hidden="false" customHeight="false" outlineLevel="0" collapsed="false">
      <c r="A82" s="31" t="s">
        <v>65</v>
      </c>
      <c r="B82" s="31" t="s">
        <v>251</v>
      </c>
      <c r="C82" s="14" t="n">
        <f aca="false">COUNTIFS('Recruiter Activity'!$B$4:$B$804,A82,'Recruiter Activity'!$C$4:$C$804,B82)</f>
        <v>1</v>
      </c>
      <c r="D82" s="14" t="n">
        <f aca="false">SUMIFS('Recruiter Activity'!$E$4:$E$804,'Recruiter Activity'!$B$4:$B$804,A82,'Recruiter Activity'!$C$4:$C$804,B82)</f>
        <v>0</v>
      </c>
      <c r="E82" s="14" t="n">
        <f aca="false">SUMIFS('Recruiter Activity'!$F$4:$F$804,'Recruiter Activity'!$B$4:$B$804,A82,'Recruiter Activity'!$C$4:$C$804,B82)</f>
        <v>0</v>
      </c>
      <c r="F82" s="14" t="n">
        <f aca="false">SUMIFS('Recruiter Activity'!$G$4:$G$804,'Recruiter Activity'!$B$4:$B$804,A82,'Recruiter Activity'!$C$4:$C$804,B82)</f>
        <v>0</v>
      </c>
      <c r="G82" s="14" t="n">
        <f aca="false">SUMIFS('Recruiter Activity'!$H$4:$H$804,'Recruiter Activity'!$B$4:$B$804,A82,'Recruiter Activity'!$C$4:$C$804,B82)</f>
        <v>0</v>
      </c>
      <c r="H82" s="16" t="str">
        <f aca="false">IFERROR(G82/F82,"")</f>
        <v/>
      </c>
    </row>
    <row r="83" customFormat="false" ht="23.85" hidden="false" customHeight="false" outlineLevel="0" collapsed="false">
      <c r="A83" s="31" t="s">
        <v>65</v>
      </c>
      <c r="B83" s="31" t="s">
        <v>252</v>
      </c>
      <c r="C83" s="14" t="n">
        <f aca="false">COUNTIFS('Recruiter Activity'!$B$4:$B$804,A83,'Recruiter Activity'!$C$4:$C$804,B83)</f>
        <v>1</v>
      </c>
      <c r="D83" s="14" t="n">
        <f aca="false">SUMIFS('Recruiter Activity'!$E$4:$E$804,'Recruiter Activity'!$B$4:$B$804,A83,'Recruiter Activity'!$C$4:$C$804,B83)</f>
        <v>0</v>
      </c>
      <c r="E83" s="14" t="n">
        <f aca="false">SUMIFS('Recruiter Activity'!$F$4:$F$804,'Recruiter Activity'!$B$4:$B$804,A83,'Recruiter Activity'!$C$4:$C$804,B83)</f>
        <v>0</v>
      </c>
      <c r="F83" s="14" t="n">
        <f aca="false">SUMIFS('Recruiter Activity'!$G$4:$G$804,'Recruiter Activity'!$B$4:$B$804,A83,'Recruiter Activity'!$C$4:$C$804,B83)</f>
        <v>0</v>
      </c>
      <c r="G83" s="14" t="n">
        <f aca="false">SUMIFS('Recruiter Activity'!$H$4:$H$804,'Recruiter Activity'!$B$4:$B$804,A83,'Recruiter Activity'!$C$4:$C$804,B83)</f>
        <v>0</v>
      </c>
      <c r="H83" s="16" t="str">
        <f aca="false">IFERROR(G83/F83,"")</f>
        <v/>
      </c>
    </row>
    <row r="84" customFormat="false" ht="23.85" hidden="false" customHeight="false" outlineLevel="0" collapsed="false">
      <c r="A84" s="31" t="s">
        <v>65</v>
      </c>
      <c r="B84" s="31" t="s">
        <v>253</v>
      </c>
      <c r="C84" s="14" t="n">
        <f aca="false">COUNTIFS('Recruiter Activity'!$B$4:$B$804,A84,'Recruiter Activity'!$C$4:$C$804,B84)</f>
        <v>1</v>
      </c>
      <c r="D84" s="14" t="n">
        <f aca="false">SUMIFS('Recruiter Activity'!$E$4:$E$804,'Recruiter Activity'!$B$4:$B$804,A84,'Recruiter Activity'!$C$4:$C$804,B84)</f>
        <v>0</v>
      </c>
      <c r="E84" s="14" t="n">
        <f aca="false">SUMIFS('Recruiter Activity'!$F$4:$F$804,'Recruiter Activity'!$B$4:$B$804,A84,'Recruiter Activity'!$C$4:$C$804,B84)</f>
        <v>0</v>
      </c>
      <c r="F84" s="14" t="n">
        <f aca="false">SUMIFS('Recruiter Activity'!$G$4:$G$804,'Recruiter Activity'!$B$4:$B$804,A84,'Recruiter Activity'!$C$4:$C$804,B84)</f>
        <v>0</v>
      </c>
      <c r="G84" s="14" t="n">
        <f aca="false">SUMIFS('Recruiter Activity'!$H$4:$H$804,'Recruiter Activity'!$B$4:$B$804,A84,'Recruiter Activity'!$C$4:$C$804,B84)</f>
        <v>0</v>
      </c>
      <c r="H84" s="16" t="str">
        <f aca="false">IFERROR(G84/F84,"")</f>
        <v/>
      </c>
    </row>
    <row r="85" customFormat="false" ht="23.85" hidden="false" customHeight="false" outlineLevel="0" collapsed="false">
      <c r="A85" s="31" t="s">
        <v>65</v>
      </c>
      <c r="B85" s="31" t="s">
        <v>254</v>
      </c>
      <c r="C85" s="14" t="n">
        <f aca="false">COUNTIFS('Recruiter Activity'!$B$4:$B$804,A85,'Recruiter Activity'!$C$4:$C$804,B85)</f>
        <v>1</v>
      </c>
      <c r="D85" s="14" t="n">
        <f aca="false">SUMIFS('Recruiter Activity'!$E$4:$E$804,'Recruiter Activity'!$B$4:$B$804,A85,'Recruiter Activity'!$C$4:$C$804,B85)</f>
        <v>0</v>
      </c>
      <c r="E85" s="14" t="n">
        <f aca="false">SUMIFS('Recruiter Activity'!$F$4:$F$804,'Recruiter Activity'!$B$4:$B$804,A85,'Recruiter Activity'!$C$4:$C$804,B85)</f>
        <v>0</v>
      </c>
      <c r="F85" s="14" t="n">
        <f aca="false">SUMIFS('Recruiter Activity'!$G$4:$G$804,'Recruiter Activity'!$B$4:$B$804,A85,'Recruiter Activity'!$C$4:$C$804,B85)</f>
        <v>0</v>
      </c>
      <c r="G85" s="14" t="n">
        <f aca="false">SUMIFS('Recruiter Activity'!$H$4:$H$804,'Recruiter Activity'!$B$4:$B$804,A85,'Recruiter Activity'!$C$4:$C$804,B85)</f>
        <v>0</v>
      </c>
      <c r="H85" s="16" t="str">
        <f aca="false">IFERROR(G85/F85,"")</f>
        <v/>
      </c>
    </row>
    <row r="86" customFormat="false" ht="23.85" hidden="false" customHeight="false" outlineLevel="0" collapsed="false">
      <c r="A86" s="31" t="s">
        <v>65</v>
      </c>
      <c r="B86" s="31" t="s">
        <v>255</v>
      </c>
      <c r="C86" s="14" t="n">
        <f aca="false">COUNTIFS('Recruiter Activity'!$B$4:$B$804,A86,'Recruiter Activity'!$C$4:$C$804,B86)</f>
        <v>1</v>
      </c>
      <c r="D86" s="14" t="n">
        <f aca="false">SUMIFS('Recruiter Activity'!$E$4:$E$804,'Recruiter Activity'!$B$4:$B$804,A86,'Recruiter Activity'!$C$4:$C$804,B86)</f>
        <v>0</v>
      </c>
      <c r="E86" s="14" t="n">
        <f aca="false">SUMIFS('Recruiter Activity'!$F$4:$F$804,'Recruiter Activity'!$B$4:$B$804,A86,'Recruiter Activity'!$C$4:$C$804,B86)</f>
        <v>0</v>
      </c>
      <c r="F86" s="14" t="n">
        <f aca="false">SUMIFS('Recruiter Activity'!$G$4:$G$804,'Recruiter Activity'!$B$4:$B$804,A86,'Recruiter Activity'!$C$4:$C$804,B86)</f>
        <v>0</v>
      </c>
      <c r="G86" s="14" t="n">
        <f aca="false">SUMIFS('Recruiter Activity'!$H$4:$H$804,'Recruiter Activity'!$B$4:$B$804,A86,'Recruiter Activity'!$C$4:$C$804,B86)</f>
        <v>0</v>
      </c>
      <c r="H86" s="16" t="str">
        <f aca="false">IFERROR(G86/F86,"")</f>
        <v/>
      </c>
    </row>
    <row r="87" customFormat="false" ht="23.85" hidden="false" customHeight="false" outlineLevel="0" collapsed="false">
      <c r="A87" s="31" t="s">
        <v>65</v>
      </c>
      <c r="B87" s="31" t="s">
        <v>256</v>
      </c>
      <c r="C87" s="14" t="n">
        <f aca="false">COUNTIFS('Recruiter Activity'!$B$4:$B$804,A87,'Recruiter Activity'!$C$4:$C$804,B87)</f>
        <v>1</v>
      </c>
      <c r="D87" s="14" t="n">
        <f aca="false">SUMIFS('Recruiter Activity'!$E$4:$E$804,'Recruiter Activity'!$B$4:$B$804,A87,'Recruiter Activity'!$C$4:$C$804,B87)</f>
        <v>0</v>
      </c>
      <c r="E87" s="14" t="n">
        <f aca="false">SUMIFS('Recruiter Activity'!$F$4:$F$804,'Recruiter Activity'!$B$4:$B$804,A87,'Recruiter Activity'!$C$4:$C$804,B87)</f>
        <v>0</v>
      </c>
      <c r="F87" s="14" t="n">
        <f aca="false">SUMIFS('Recruiter Activity'!$G$4:$G$804,'Recruiter Activity'!$B$4:$B$804,A87,'Recruiter Activity'!$C$4:$C$804,B87)</f>
        <v>0</v>
      </c>
      <c r="G87" s="14" t="n">
        <f aca="false">SUMIFS('Recruiter Activity'!$H$4:$H$804,'Recruiter Activity'!$B$4:$B$804,A87,'Recruiter Activity'!$C$4:$C$804,B87)</f>
        <v>0</v>
      </c>
      <c r="H87" s="16" t="str">
        <f aca="false">IFERROR(G87/F87,"")</f>
        <v/>
      </c>
    </row>
    <row r="88" customFormat="false" ht="23.85" hidden="false" customHeight="false" outlineLevel="0" collapsed="false">
      <c r="A88" s="31" t="s">
        <v>65</v>
      </c>
      <c r="B88" s="31" t="s">
        <v>258</v>
      </c>
      <c r="C88" s="14" t="n">
        <f aca="false">COUNTIFS('Recruiter Activity'!$B$4:$B$804,A88,'Recruiter Activity'!$C$4:$C$804,B88)</f>
        <v>1</v>
      </c>
      <c r="D88" s="14" t="n">
        <f aca="false">SUMIFS('Recruiter Activity'!$E$4:$E$804,'Recruiter Activity'!$B$4:$B$804,A88,'Recruiter Activity'!$C$4:$C$804,B88)</f>
        <v>0</v>
      </c>
      <c r="E88" s="14" t="n">
        <f aca="false">SUMIFS('Recruiter Activity'!$F$4:$F$804,'Recruiter Activity'!$B$4:$B$804,A88,'Recruiter Activity'!$C$4:$C$804,B88)</f>
        <v>0</v>
      </c>
      <c r="F88" s="14" t="n">
        <f aca="false">SUMIFS('Recruiter Activity'!$G$4:$G$804,'Recruiter Activity'!$B$4:$B$804,A88,'Recruiter Activity'!$C$4:$C$804,B88)</f>
        <v>0</v>
      </c>
      <c r="G88" s="14" t="n">
        <f aca="false">SUMIFS('Recruiter Activity'!$H$4:$H$804,'Recruiter Activity'!$B$4:$B$804,A88,'Recruiter Activity'!$C$4:$C$804,B88)</f>
        <v>0</v>
      </c>
      <c r="H88" s="16" t="str">
        <f aca="false">IFERROR(G88/F88,"")</f>
        <v/>
      </c>
    </row>
    <row r="89" customFormat="false" ht="15" hidden="false" customHeight="false" outlineLevel="0" collapsed="false">
      <c r="A89" s="31" t="s">
        <v>65</v>
      </c>
      <c r="B89" s="31" t="s">
        <v>259</v>
      </c>
      <c r="C89" s="14" t="n">
        <f aca="false">COUNTIFS('Recruiter Activity'!$B$4:$B$804,A89,'Recruiter Activity'!$C$4:$C$804,B89)</f>
        <v>1</v>
      </c>
      <c r="D89" s="14" t="n">
        <f aca="false">SUMIFS('Recruiter Activity'!$E$4:$E$804,'Recruiter Activity'!$B$4:$B$804,A89,'Recruiter Activity'!$C$4:$C$804,B89)</f>
        <v>0</v>
      </c>
      <c r="E89" s="14" t="n">
        <f aca="false">SUMIFS('Recruiter Activity'!$F$4:$F$804,'Recruiter Activity'!$B$4:$B$804,A89,'Recruiter Activity'!$C$4:$C$804,B89)</f>
        <v>0</v>
      </c>
      <c r="F89" s="14" t="n">
        <f aca="false">SUMIFS('Recruiter Activity'!$G$4:$G$804,'Recruiter Activity'!$B$4:$B$804,A89,'Recruiter Activity'!$C$4:$C$804,B89)</f>
        <v>0</v>
      </c>
      <c r="G89" s="14" t="n">
        <f aca="false">SUMIFS('Recruiter Activity'!$H$4:$H$804,'Recruiter Activity'!$B$4:$B$804,A89,'Recruiter Activity'!$C$4:$C$804,B89)</f>
        <v>0</v>
      </c>
      <c r="H89" s="16" t="str">
        <f aca="false">IFERROR(G89/F89,"")</f>
        <v/>
      </c>
    </row>
    <row r="90" customFormat="false" ht="23.85" hidden="false" customHeight="false" outlineLevel="0" collapsed="false">
      <c r="A90" s="31" t="s">
        <v>65</v>
      </c>
      <c r="B90" s="31" t="s">
        <v>260</v>
      </c>
      <c r="C90" s="14" t="n">
        <f aca="false">COUNTIFS('Recruiter Activity'!$B$4:$B$804,A90,'Recruiter Activity'!$C$4:$C$804,B90)</f>
        <v>1</v>
      </c>
      <c r="D90" s="14" t="n">
        <f aca="false">SUMIFS('Recruiter Activity'!$E$4:$E$804,'Recruiter Activity'!$B$4:$B$804,A90,'Recruiter Activity'!$C$4:$C$804,B90)</f>
        <v>0</v>
      </c>
      <c r="E90" s="14" t="n">
        <f aca="false">SUMIFS('Recruiter Activity'!$F$4:$F$804,'Recruiter Activity'!$B$4:$B$804,A90,'Recruiter Activity'!$C$4:$C$804,B90)</f>
        <v>0</v>
      </c>
      <c r="F90" s="14" t="n">
        <f aca="false">SUMIFS('Recruiter Activity'!$G$4:$G$804,'Recruiter Activity'!$B$4:$B$804,A90,'Recruiter Activity'!$C$4:$C$804,B90)</f>
        <v>0</v>
      </c>
      <c r="G90" s="14" t="n">
        <f aca="false">SUMIFS('Recruiter Activity'!$H$4:$H$804,'Recruiter Activity'!$B$4:$B$804,A90,'Recruiter Activity'!$C$4:$C$804,B90)</f>
        <v>0</v>
      </c>
      <c r="H90" s="16" t="str">
        <f aca="false">IFERROR(G90/F90,"")</f>
        <v/>
      </c>
    </row>
    <row r="91" customFormat="false" ht="15" hidden="false" customHeight="false" outlineLevel="0" collapsed="false">
      <c r="A91" s="31" t="s">
        <v>65</v>
      </c>
      <c r="B91" s="31" t="s">
        <v>261</v>
      </c>
      <c r="C91" s="14" t="n">
        <f aca="false">COUNTIFS('Recruiter Activity'!$B$4:$B$804,A91,'Recruiter Activity'!$C$4:$C$804,B91)</f>
        <v>1</v>
      </c>
      <c r="D91" s="14" t="n">
        <f aca="false">SUMIFS('Recruiter Activity'!$E$4:$E$804,'Recruiter Activity'!$B$4:$B$804,A91,'Recruiter Activity'!$C$4:$C$804,B91)</f>
        <v>0</v>
      </c>
      <c r="E91" s="14" t="n">
        <f aca="false">SUMIFS('Recruiter Activity'!$F$4:$F$804,'Recruiter Activity'!$B$4:$B$804,A91,'Recruiter Activity'!$C$4:$C$804,B91)</f>
        <v>0</v>
      </c>
      <c r="F91" s="14" t="n">
        <f aca="false">SUMIFS('Recruiter Activity'!$G$4:$G$804,'Recruiter Activity'!$B$4:$B$804,A91,'Recruiter Activity'!$C$4:$C$804,B91)</f>
        <v>0</v>
      </c>
      <c r="G91" s="14" t="n">
        <f aca="false">SUMIFS('Recruiter Activity'!$H$4:$H$804,'Recruiter Activity'!$B$4:$B$804,A91,'Recruiter Activity'!$C$4:$C$804,B91)</f>
        <v>0</v>
      </c>
      <c r="H91" s="16" t="str">
        <f aca="false">IFERROR(G91/F91,"")</f>
        <v/>
      </c>
    </row>
    <row r="92" customFormat="false" ht="23.85" hidden="false" customHeight="false" outlineLevel="0" collapsed="false">
      <c r="A92" s="31" t="s">
        <v>65</v>
      </c>
      <c r="B92" s="31" t="s">
        <v>263</v>
      </c>
      <c r="C92" s="14" t="n">
        <f aca="false">COUNTIFS('Recruiter Activity'!$B$4:$B$804,A92,'Recruiter Activity'!$C$4:$C$804,B92)</f>
        <v>1</v>
      </c>
      <c r="D92" s="14" t="n">
        <f aca="false">SUMIFS('Recruiter Activity'!$E$4:$E$804,'Recruiter Activity'!$B$4:$B$804,A92,'Recruiter Activity'!$C$4:$C$804,B92)</f>
        <v>0</v>
      </c>
      <c r="E92" s="14" t="n">
        <f aca="false">SUMIFS('Recruiter Activity'!$F$4:$F$804,'Recruiter Activity'!$B$4:$B$804,A92,'Recruiter Activity'!$C$4:$C$804,B92)</f>
        <v>0</v>
      </c>
      <c r="F92" s="14" t="n">
        <f aca="false">SUMIFS('Recruiter Activity'!$G$4:$G$804,'Recruiter Activity'!$B$4:$B$804,A92,'Recruiter Activity'!$C$4:$C$804,B92)</f>
        <v>0</v>
      </c>
      <c r="G92" s="14" t="n">
        <f aca="false">SUMIFS('Recruiter Activity'!$H$4:$H$804,'Recruiter Activity'!$B$4:$B$804,A92,'Recruiter Activity'!$C$4:$C$804,B92)</f>
        <v>0</v>
      </c>
      <c r="H92" s="16" t="str">
        <f aca="false">IFERROR(G92/F92,"")</f>
        <v/>
      </c>
    </row>
    <row r="93" customFormat="false" ht="23.85" hidden="false" customHeight="false" outlineLevel="0" collapsed="false">
      <c r="A93" s="31" t="s">
        <v>65</v>
      </c>
      <c r="B93" s="31" t="s">
        <v>264</v>
      </c>
      <c r="C93" s="14" t="n">
        <f aca="false">COUNTIFS('Recruiter Activity'!$B$4:$B$804,A93,'Recruiter Activity'!$C$4:$C$804,B93)</f>
        <v>1</v>
      </c>
      <c r="D93" s="14" t="n">
        <f aca="false">SUMIFS('Recruiter Activity'!$E$4:$E$804,'Recruiter Activity'!$B$4:$B$804,A93,'Recruiter Activity'!$C$4:$C$804,B93)</f>
        <v>0</v>
      </c>
      <c r="E93" s="14" t="n">
        <f aca="false">SUMIFS('Recruiter Activity'!$F$4:$F$804,'Recruiter Activity'!$B$4:$B$804,A93,'Recruiter Activity'!$C$4:$C$804,B93)</f>
        <v>0</v>
      </c>
      <c r="F93" s="14" t="n">
        <f aca="false">SUMIFS('Recruiter Activity'!$G$4:$G$804,'Recruiter Activity'!$B$4:$B$804,A93,'Recruiter Activity'!$C$4:$C$804,B93)</f>
        <v>0</v>
      </c>
      <c r="G93" s="14" t="n">
        <f aca="false">SUMIFS('Recruiter Activity'!$H$4:$H$804,'Recruiter Activity'!$B$4:$B$804,A93,'Recruiter Activity'!$C$4:$C$804,B93)</f>
        <v>0</v>
      </c>
      <c r="H93" s="16" t="str">
        <f aca="false">IFERROR(G93/F93,"")</f>
        <v/>
      </c>
    </row>
    <row r="94" customFormat="false" ht="23.85" hidden="false" customHeight="false" outlineLevel="0" collapsed="false">
      <c r="A94" s="31" t="s">
        <v>65</v>
      </c>
      <c r="B94" s="31" t="s">
        <v>265</v>
      </c>
      <c r="C94" s="14" t="n">
        <f aca="false">COUNTIFS('Recruiter Activity'!$B$4:$B$804,A94,'Recruiter Activity'!$C$4:$C$804,B94)</f>
        <v>1</v>
      </c>
      <c r="D94" s="14" t="n">
        <f aca="false">SUMIFS('Recruiter Activity'!$E$4:$E$804,'Recruiter Activity'!$B$4:$B$804,A94,'Recruiter Activity'!$C$4:$C$804,B94)</f>
        <v>0</v>
      </c>
      <c r="E94" s="14" t="n">
        <f aca="false">SUMIFS('Recruiter Activity'!$F$4:$F$804,'Recruiter Activity'!$B$4:$B$804,A94,'Recruiter Activity'!$C$4:$C$804,B94)</f>
        <v>0</v>
      </c>
      <c r="F94" s="14" t="n">
        <f aca="false">SUMIFS('Recruiter Activity'!$G$4:$G$804,'Recruiter Activity'!$B$4:$B$804,A94,'Recruiter Activity'!$C$4:$C$804,B94)</f>
        <v>0</v>
      </c>
      <c r="G94" s="14" t="n">
        <f aca="false">SUMIFS('Recruiter Activity'!$H$4:$H$804,'Recruiter Activity'!$B$4:$B$804,A94,'Recruiter Activity'!$C$4:$C$804,B94)</f>
        <v>0</v>
      </c>
      <c r="H94" s="16" t="str">
        <f aca="false">IFERROR(G94/F94,"")</f>
        <v/>
      </c>
    </row>
    <row r="95" customFormat="false" ht="23.85" hidden="false" customHeight="false" outlineLevel="0" collapsed="false">
      <c r="A95" s="31" t="s">
        <v>65</v>
      </c>
      <c r="B95" s="31" t="s">
        <v>266</v>
      </c>
      <c r="C95" s="14" t="n">
        <f aca="false">COUNTIFS('Recruiter Activity'!$B$4:$B$804,A95,'Recruiter Activity'!$C$4:$C$804,B95)</f>
        <v>1</v>
      </c>
      <c r="D95" s="14" t="n">
        <f aca="false">SUMIFS('Recruiter Activity'!$E$4:$E$804,'Recruiter Activity'!$B$4:$B$804,A95,'Recruiter Activity'!$C$4:$C$804,B95)</f>
        <v>0</v>
      </c>
      <c r="E95" s="14" t="n">
        <f aca="false">SUMIFS('Recruiter Activity'!$F$4:$F$804,'Recruiter Activity'!$B$4:$B$804,A95,'Recruiter Activity'!$C$4:$C$804,B95)</f>
        <v>0</v>
      </c>
      <c r="F95" s="14" t="n">
        <f aca="false">SUMIFS('Recruiter Activity'!$G$4:$G$804,'Recruiter Activity'!$B$4:$B$804,A95,'Recruiter Activity'!$C$4:$C$804,B95)</f>
        <v>0</v>
      </c>
      <c r="G95" s="14" t="n">
        <f aca="false">SUMIFS('Recruiter Activity'!$H$4:$H$804,'Recruiter Activity'!$B$4:$B$804,A95,'Recruiter Activity'!$C$4:$C$804,B95)</f>
        <v>0</v>
      </c>
      <c r="H95" s="16" t="str">
        <f aca="false">IFERROR(G95/F95,"")</f>
        <v/>
      </c>
    </row>
    <row r="96" customFormat="false" ht="23.85" hidden="false" customHeight="false" outlineLevel="0" collapsed="false">
      <c r="A96" s="31" t="s">
        <v>65</v>
      </c>
      <c r="B96" s="31" t="s">
        <v>267</v>
      </c>
      <c r="C96" s="14" t="n">
        <f aca="false">COUNTIFS('Recruiter Activity'!$B$4:$B$804,A96,'Recruiter Activity'!$C$4:$C$804,B96)</f>
        <v>1</v>
      </c>
      <c r="D96" s="14" t="n">
        <f aca="false">SUMIFS('Recruiter Activity'!$E$4:$E$804,'Recruiter Activity'!$B$4:$B$804,A96,'Recruiter Activity'!$C$4:$C$804,B96)</f>
        <v>0</v>
      </c>
      <c r="E96" s="14" t="n">
        <f aca="false">SUMIFS('Recruiter Activity'!$F$4:$F$804,'Recruiter Activity'!$B$4:$B$804,A96,'Recruiter Activity'!$C$4:$C$804,B96)</f>
        <v>0</v>
      </c>
      <c r="F96" s="14" t="n">
        <f aca="false">SUMIFS('Recruiter Activity'!$G$4:$G$804,'Recruiter Activity'!$B$4:$B$804,A96,'Recruiter Activity'!$C$4:$C$804,B96)</f>
        <v>0</v>
      </c>
      <c r="G96" s="14" t="n">
        <f aca="false">SUMIFS('Recruiter Activity'!$H$4:$H$804,'Recruiter Activity'!$B$4:$B$804,A96,'Recruiter Activity'!$C$4:$C$804,B96)</f>
        <v>0</v>
      </c>
      <c r="H96" s="16" t="str">
        <f aca="false">IFERROR(G96/F96,"")</f>
        <v/>
      </c>
    </row>
    <row r="97" customFormat="false" ht="23.85" hidden="false" customHeight="false" outlineLevel="0" collapsed="false">
      <c r="A97" s="31" t="s">
        <v>65</v>
      </c>
      <c r="B97" s="31" t="s">
        <v>268</v>
      </c>
      <c r="C97" s="14" t="n">
        <f aca="false">COUNTIFS('Recruiter Activity'!$B$4:$B$804,A97,'Recruiter Activity'!$C$4:$C$804,B97)</f>
        <v>1</v>
      </c>
      <c r="D97" s="14" t="n">
        <f aca="false">SUMIFS('Recruiter Activity'!$E$4:$E$804,'Recruiter Activity'!$B$4:$B$804,A97,'Recruiter Activity'!$C$4:$C$804,B97)</f>
        <v>0</v>
      </c>
      <c r="E97" s="14" t="n">
        <f aca="false">SUMIFS('Recruiter Activity'!$F$4:$F$804,'Recruiter Activity'!$B$4:$B$804,A97,'Recruiter Activity'!$C$4:$C$804,B97)</f>
        <v>0</v>
      </c>
      <c r="F97" s="14" t="n">
        <f aca="false">SUMIFS('Recruiter Activity'!$G$4:$G$804,'Recruiter Activity'!$B$4:$B$804,A97,'Recruiter Activity'!$C$4:$C$804,B97)</f>
        <v>0</v>
      </c>
      <c r="G97" s="14" t="n">
        <f aca="false">SUMIFS('Recruiter Activity'!$H$4:$H$804,'Recruiter Activity'!$B$4:$B$804,A97,'Recruiter Activity'!$C$4:$C$804,B97)</f>
        <v>0</v>
      </c>
      <c r="H97" s="16" t="str">
        <f aca="false">IFERROR(G97/F97,"")</f>
        <v/>
      </c>
    </row>
    <row r="98" customFormat="false" ht="23.85" hidden="false" customHeight="false" outlineLevel="0" collapsed="false">
      <c r="A98" s="31" t="s">
        <v>65</v>
      </c>
      <c r="B98" s="31" t="s">
        <v>269</v>
      </c>
      <c r="C98" s="14" t="n">
        <f aca="false">COUNTIFS('Recruiter Activity'!$B$4:$B$804,A98,'Recruiter Activity'!$C$4:$C$804,B98)</f>
        <v>1</v>
      </c>
      <c r="D98" s="14" t="n">
        <f aca="false">SUMIFS('Recruiter Activity'!$E$4:$E$804,'Recruiter Activity'!$B$4:$B$804,A98,'Recruiter Activity'!$C$4:$C$804,B98)</f>
        <v>0</v>
      </c>
      <c r="E98" s="14" t="n">
        <f aca="false">SUMIFS('Recruiter Activity'!$F$4:$F$804,'Recruiter Activity'!$B$4:$B$804,A98,'Recruiter Activity'!$C$4:$C$804,B98)</f>
        <v>0</v>
      </c>
      <c r="F98" s="14" t="n">
        <f aca="false">SUMIFS('Recruiter Activity'!$G$4:$G$804,'Recruiter Activity'!$B$4:$B$804,A98,'Recruiter Activity'!$C$4:$C$804,B98)</f>
        <v>0</v>
      </c>
      <c r="G98" s="14" t="n">
        <f aca="false">SUMIFS('Recruiter Activity'!$H$4:$H$804,'Recruiter Activity'!$B$4:$B$804,A98,'Recruiter Activity'!$C$4:$C$804,B98)</f>
        <v>0</v>
      </c>
      <c r="H98" s="16" t="str">
        <f aca="false">IFERROR(G98/F98,"")</f>
        <v/>
      </c>
    </row>
    <row r="99" customFormat="false" ht="23.85" hidden="false" customHeight="false" outlineLevel="0" collapsed="false">
      <c r="A99" s="31" t="s">
        <v>65</v>
      </c>
      <c r="B99" s="31" t="s">
        <v>271</v>
      </c>
      <c r="C99" s="14" t="n">
        <f aca="false">COUNTIFS('Recruiter Activity'!$B$4:$B$804,A99,'Recruiter Activity'!$C$4:$C$804,B99)</f>
        <v>1</v>
      </c>
      <c r="D99" s="14" t="n">
        <f aca="false">SUMIFS('Recruiter Activity'!$E$4:$E$804,'Recruiter Activity'!$B$4:$B$804,A99,'Recruiter Activity'!$C$4:$C$804,B99)</f>
        <v>0</v>
      </c>
      <c r="E99" s="14" t="n">
        <f aca="false">SUMIFS('Recruiter Activity'!$F$4:$F$804,'Recruiter Activity'!$B$4:$B$804,A99,'Recruiter Activity'!$C$4:$C$804,B99)</f>
        <v>0</v>
      </c>
      <c r="F99" s="14" t="n">
        <f aca="false">SUMIFS('Recruiter Activity'!$G$4:$G$804,'Recruiter Activity'!$B$4:$B$804,A99,'Recruiter Activity'!$C$4:$C$804,B99)</f>
        <v>0</v>
      </c>
      <c r="G99" s="14" t="n">
        <f aca="false">SUMIFS('Recruiter Activity'!$H$4:$H$804,'Recruiter Activity'!$B$4:$B$804,A99,'Recruiter Activity'!$C$4:$C$804,B99)</f>
        <v>0</v>
      </c>
      <c r="H99" s="16" t="str">
        <f aca="false">IFERROR(G99/F99,"")</f>
        <v/>
      </c>
    </row>
    <row r="100" customFormat="false" ht="23.85" hidden="false" customHeight="false" outlineLevel="0" collapsed="false">
      <c r="A100" s="31" t="s">
        <v>73</v>
      </c>
      <c r="B100" s="31" t="s">
        <v>272</v>
      </c>
      <c r="C100" s="14" t="n">
        <f aca="false">COUNTIFS('Recruiter Activity'!$B$4:$B$804,A100,'Recruiter Activity'!$C$4:$C$804,B100)</f>
        <v>1</v>
      </c>
      <c r="D100" s="14" t="n">
        <f aca="false">SUMIFS('Recruiter Activity'!$E$4:$E$804,'Recruiter Activity'!$B$4:$B$804,A100,'Recruiter Activity'!$C$4:$C$804,B100)</f>
        <v>0</v>
      </c>
      <c r="E100" s="14" t="n">
        <f aca="false">SUMIFS('Recruiter Activity'!$F$4:$F$804,'Recruiter Activity'!$B$4:$B$804,A100,'Recruiter Activity'!$C$4:$C$804,B100)</f>
        <v>0</v>
      </c>
      <c r="F100" s="14" t="n">
        <f aca="false">SUMIFS('Recruiter Activity'!$G$4:$G$804,'Recruiter Activity'!$B$4:$B$804,A100,'Recruiter Activity'!$C$4:$C$804,B100)</f>
        <v>0</v>
      </c>
      <c r="G100" s="14" t="n">
        <f aca="false">SUMIFS('Recruiter Activity'!$H$4:$H$804,'Recruiter Activity'!$B$4:$B$804,A100,'Recruiter Activity'!$C$4:$C$804,B100)</f>
        <v>0</v>
      </c>
      <c r="H100" s="16" t="str">
        <f aca="false">IFERROR(G100/F100,"")</f>
        <v/>
      </c>
    </row>
    <row r="101" customFormat="false" ht="23.85" hidden="false" customHeight="false" outlineLevel="0" collapsed="false">
      <c r="A101" s="31" t="s">
        <v>73</v>
      </c>
      <c r="B101" s="31" t="s">
        <v>275</v>
      </c>
      <c r="C101" s="14" t="n">
        <f aca="false">COUNTIFS('Recruiter Activity'!$B$4:$B$804,A101,'Recruiter Activity'!$C$4:$C$804,B101)</f>
        <v>1</v>
      </c>
      <c r="D101" s="14" t="n">
        <f aca="false">SUMIFS('Recruiter Activity'!$E$4:$E$804,'Recruiter Activity'!$B$4:$B$804,A101,'Recruiter Activity'!$C$4:$C$804,B101)</f>
        <v>0</v>
      </c>
      <c r="E101" s="14" t="n">
        <f aca="false">SUMIFS('Recruiter Activity'!$F$4:$F$804,'Recruiter Activity'!$B$4:$B$804,A101,'Recruiter Activity'!$C$4:$C$804,B101)</f>
        <v>0</v>
      </c>
      <c r="F101" s="14" t="n">
        <f aca="false">SUMIFS('Recruiter Activity'!$G$4:$G$804,'Recruiter Activity'!$B$4:$B$804,A101,'Recruiter Activity'!$C$4:$C$804,B101)</f>
        <v>0</v>
      </c>
      <c r="G101" s="14" t="n">
        <f aca="false">SUMIFS('Recruiter Activity'!$H$4:$H$804,'Recruiter Activity'!$B$4:$B$804,A101,'Recruiter Activity'!$C$4:$C$804,B101)</f>
        <v>0</v>
      </c>
      <c r="H101" s="16" t="str">
        <f aca="false">IFERROR(G101/F101,"")</f>
        <v/>
      </c>
    </row>
    <row r="102" customFormat="false" ht="23.85" hidden="false" customHeight="false" outlineLevel="0" collapsed="false">
      <c r="A102" s="31" t="s">
        <v>73</v>
      </c>
      <c r="B102" s="31" t="s">
        <v>276</v>
      </c>
      <c r="C102" s="14" t="n">
        <f aca="false">COUNTIFS('Recruiter Activity'!$B$4:$B$804,A102,'Recruiter Activity'!$C$4:$C$804,B102)</f>
        <v>1</v>
      </c>
      <c r="D102" s="14" t="n">
        <f aca="false">SUMIFS('Recruiter Activity'!$E$4:$E$804,'Recruiter Activity'!$B$4:$B$804,A102,'Recruiter Activity'!$C$4:$C$804,B102)</f>
        <v>3</v>
      </c>
      <c r="E102" s="14" t="n">
        <f aca="false">SUMIFS('Recruiter Activity'!$F$4:$F$804,'Recruiter Activity'!$B$4:$B$804,A102,'Recruiter Activity'!$C$4:$C$804,B102)</f>
        <v>616</v>
      </c>
      <c r="F102" s="14" t="n">
        <f aca="false">SUMIFS('Recruiter Activity'!$G$4:$G$804,'Recruiter Activity'!$B$4:$B$804,A102,'Recruiter Activity'!$C$4:$C$804,B102)</f>
        <v>431</v>
      </c>
      <c r="G102" s="14" t="n">
        <f aca="false">SUMIFS('Recruiter Activity'!$H$4:$H$804,'Recruiter Activity'!$B$4:$B$804,A102,'Recruiter Activity'!$C$4:$C$804,B102)</f>
        <v>0</v>
      </c>
      <c r="H102" s="16" t="n">
        <f aca="false">IFERROR(G102/F102,"")</f>
        <v>0</v>
      </c>
    </row>
    <row r="103" customFormat="false" ht="15" hidden="false" customHeight="false" outlineLevel="0" collapsed="false">
      <c r="A103" s="31" t="s">
        <v>85</v>
      </c>
      <c r="B103" s="31" t="s">
        <v>278</v>
      </c>
      <c r="C103" s="14" t="n">
        <f aca="false">COUNTIFS('Recruiter Activity'!$B$4:$B$804,A103,'Recruiter Activity'!$C$4:$C$804,B103)</f>
        <v>1</v>
      </c>
      <c r="D103" s="14" t="n">
        <f aca="false">SUMIFS('Recruiter Activity'!$E$4:$E$804,'Recruiter Activity'!$B$4:$B$804,A103,'Recruiter Activity'!$C$4:$C$804,B103)</f>
        <v>23</v>
      </c>
      <c r="E103" s="14" t="n">
        <f aca="false">SUMIFS('Recruiter Activity'!$F$4:$F$804,'Recruiter Activity'!$B$4:$B$804,A103,'Recruiter Activity'!$C$4:$C$804,B103)</f>
        <v>0</v>
      </c>
      <c r="F103" s="14" t="n">
        <f aca="false">SUMIFS('Recruiter Activity'!$G$4:$G$804,'Recruiter Activity'!$B$4:$B$804,A103,'Recruiter Activity'!$C$4:$C$804,B103)</f>
        <v>18</v>
      </c>
      <c r="G103" s="14" t="n">
        <f aca="false">SUMIFS('Recruiter Activity'!$H$4:$H$804,'Recruiter Activity'!$B$4:$B$804,A103,'Recruiter Activity'!$C$4:$C$804,B103)</f>
        <v>15</v>
      </c>
      <c r="H103" s="16" t="n">
        <f aca="false">IFERROR(G103/F103,"")</f>
        <v>0.833333333333333</v>
      </c>
    </row>
    <row r="104" customFormat="false" ht="15" hidden="false" customHeight="false" outlineLevel="0" collapsed="false">
      <c r="A104" s="31" t="s">
        <v>85</v>
      </c>
      <c r="B104" s="31" t="s">
        <v>280</v>
      </c>
      <c r="C104" s="14" t="n">
        <f aca="false">COUNTIFS('Recruiter Activity'!$B$4:$B$804,A104,'Recruiter Activity'!$C$4:$C$804,B104)</f>
        <v>1</v>
      </c>
      <c r="D104" s="14" t="n">
        <f aca="false">SUMIFS('Recruiter Activity'!$E$4:$E$804,'Recruiter Activity'!$B$4:$B$804,A104,'Recruiter Activity'!$C$4:$C$804,B104)</f>
        <v>16</v>
      </c>
      <c r="E104" s="14" t="n">
        <f aca="false">SUMIFS('Recruiter Activity'!$F$4:$F$804,'Recruiter Activity'!$B$4:$B$804,A104,'Recruiter Activity'!$C$4:$C$804,B104)</f>
        <v>0</v>
      </c>
      <c r="F104" s="14" t="n">
        <f aca="false">SUMIFS('Recruiter Activity'!$G$4:$G$804,'Recruiter Activity'!$B$4:$B$804,A104,'Recruiter Activity'!$C$4:$C$804,B104)</f>
        <v>14</v>
      </c>
      <c r="G104" s="14" t="n">
        <f aca="false">SUMIFS('Recruiter Activity'!$H$4:$H$804,'Recruiter Activity'!$B$4:$B$804,A104,'Recruiter Activity'!$C$4:$C$804,B104)</f>
        <v>14</v>
      </c>
      <c r="H104" s="16" t="n">
        <f aca="false">IFERROR(G104/F104,"")</f>
        <v>1</v>
      </c>
    </row>
    <row r="105" customFormat="false" ht="15" hidden="false" customHeight="false" outlineLevel="0" collapsed="false">
      <c r="A105" s="31" t="s">
        <v>85</v>
      </c>
      <c r="B105" s="31" t="s">
        <v>282</v>
      </c>
      <c r="C105" s="14" t="n">
        <f aca="false">COUNTIFS('Recruiter Activity'!$B$4:$B$804,A105,'Recruiter Activity'!$C$4:$C$804,B105)</f>
        <v>1</v>
      </c>
      <c r="D105" s="14" t="n">
        <f aca="false">SUMIFS('Recruiter Activity'!$E$4:$E$804,'Recruiter Activity'!$B$4:$B$804,A105,'Recruiter Activity'!$C$4:$C$804,B105)</f>
        <v>67</v>
      </c>
      <c r="E105" s="14" t="n">
        <f aca="false">SUMIFS('Recruiter Activity'!$F$4:$F$804,'Recruiter Activity'!$B$4:$B$804,A105,'Recruiter Activity'!$C$4:$C$804,B105)</f>
        <v>0</v>
      </c>
      <c r="F105" s="14" t="n">
        <f aca="false">SUMIFS('Recruiter Activity'!$G$4:$G$804,'Recruiter Activity'!$B$4:$B$804,A105,'Recruiter Activity'!$C$4:$C$804,B105)</f>
        <v>63</v>
      </c>
      <c r="G105" s="14" t="n">
        <f aca="false">SUMIFS('Recruiter Activity'!$H$4:$H$804,'Recruiter Activity'!$B$4:$B$804,A105,'Recruiter Activity'!$C$4:$C$804,B105)</f>
        <v>55</v>
      </c>
      <c r="H105" s="16" t="n">
        <f aca="false">IFERROR(G105/F105,"")</f>
        <v>0.873015873015873</v>
      </c>
    </row>
    <row r="106" customFormat="false" ht="15" hidden="false" customHeight="false" outlineLevel="0" collapsed="false">
      <c r="A106" s="31" t="s">
        <v>85</v>
      </c>
      <c r="B106" s="31" t="s">
        <v>284</v>
      </c>
      <c r="C106" s="14" t="n">
        <f aca="false">COUNTIFS('Recruiter Activity'!$B$4:$B$804,A106,'Recruiter Activity'!$C$4:$C$804,B106)</f>
        <v>1</v>
      </c>
      <c r="D106" s="14" t="n">
        <f aca="false">SUMIFS('Recruiter Activity'!$E$4:$E$804,'Recruiter Activity'!$B$4:$B$804,A106,'Recruiter Activity'!$C$4:$C$804,B106)</f>
        <v>13</v>
      </c>
      <c r="E106" s="14" t="n">
        <f aca="false">SUMIFS('Recruiter Activity'!$F$4:$F$804,'Recruiter Activity'!$B$4:$B$804,A106,'Recruiter Activity'!$C$4:$C$804,B106)</f>
        <v>0</v>
      </c>
      <c r="F106" s="14" t="n">
        <f aca="false">SUMIFS('Recruiter Activity'!$G$4:$G$804,'Recruiter Activity'!$B$4:$B$804,A106,'Recruiter Activity'!$C$4:$C$804,B106)</f>
        <v>12</v>
      </c>
      <c r="G106" s="14" t="n">
        <f aca="false">SUMIFS('Recruiter Activity'!$H$4:$H$804,'Recruiter Activity'!$B$4:$B$804,A106,'Recruiter Activity'!$C$4:$C$804,B106)</f>
        <v>10</v>
      </c>
      <c r="H106" s="16" t="n">
        <f aca="false">IFERROR(G106/F106,"")</f>
        <v>0.833333333333333</v>
      </c>
    </row>
    <row r="107" customFormat="false" ht="15" hidden="false" customHeight="false" outlineLevel="0" collapsed="false">
      <c r="A107" s="31" t="s">
        <v>85</v>
      </c>
      <c r="B107" s="31" t="s">
        <v>286</v>
      </c>
      <c r="C107" s="14" t="n">
        <f aca="false">COUNTIFS('Recruiter Activity'!$B$4:$B$804,A107,'Recruiter Activity'!$C$4:$C$804,B107)</f>
        <v>1</v>
      </c>
      <c r="D107" s="14" t="n">
        <f aca="false">SUMIFS('Recruiter Activity'!$E$4:$E$804,'Recruiter Activity'!$B$4:$B$804,A107,'Recruiter Activity'!$C$4:$C$804,B107)</f>
        <v>64</v>
      </c>
      <c r="E107" s="14" t="n">
        <f aca="false">SUMIFS('Recruiter Activity'!$F$4:$F$804,'Recruiter Activity'!$B$4:$B$804,A107,'Recruiter Activity'!$C$4:$C$804,B107)</f>
        <v>0</v>
      </c>
      <c r="F107" s="14" t="n">
        <f aca="false">SUMIFS('Recruiter Activity'!$G$4:$G$804,'Recruiter Activity'!$B$4:$B$804,A107,'Recruiter Activity'!$C$4:$C$804,B107)</f>
        <v>60</v>
      </c>
      <c r="G107" s="14" t="n">
        <f aca="false">SUMIFS('Recruiter Activity'!$H$4:$H$804,'Recruiter Activity'!$B$4:$B$804,A107,'Recruiter Activity'!$C$4:$C$804,B107)</f>
        <v>43</v>
      </c>
      <c r="H107" s="16" t="n">
        <f aca="false">IFERROR(G107/F107,"")</f>
        <v>0.716666666666667</v>
      </c>
    </row>
    <row r="108" customFormat="false" ht="15" hidden="false" customHeight="false" outlineLevel="0" collapsed="false">
      <c r="A108" s="31" t="s">
        <v>85</v>
      </c>
      <c r="B108" s="31" t="s">
        <v>288</v>
      </c>
      <c r="C108" s="14" t="n">
        <f aca="false">COUNTIFS('Recruiter Activity'!$B$4:$B$804,A108,'Recruiter Activity'!$C$4:$C$804,B108)</f>
        <v>1</v>
      </c>
      <c r="D108" s="14" t="n">
        <f aca="false">SUMIFS('Recruiter Activity'!$E$4:$E$804,'Recruiter Activity'!$B$4:$B$804,A108,'Recruiter Activity'!$C$4:$C$804,B108)</f>
        <v>664</v>
      </c>
      <c r="E108" s="14" t="n">
        <f aca="false">SUMIFS('Recruiter Activity'!$F$4:$F$804,'Recruiter Activity'!$B$4:$B$804,A108,'Recruiter Activity'!$C$4:$C$804,B108)</f>
        <v>0</v>
      </c>
      <c r="F108" s="14" t="n">
        <f aca="false">SUMIFS('Recruiter Activity'!$G$4:$G$804,'Recruiter Activity'!$B$4:$B$804,A108,'Recruiter Activity'!$C$4:$C$804,B108)</f>
        <v>623</v>
      </c>
      <c r="G108" s="14" t="n">
        <f aca="false">SUMIFS('Recruiter Activity'!$H$4:$H$804,'Recruiter Activity'!$B$4:$B$804,A108,'Recruiter Activity'!$C$4:$C$804,B108)</f>
        <v>533</v>
      </c>
      <c r="H108" s="16" t="n">
        <f aca="false">IFERROR(G108/F108,"")</f>
        <v>0.85553772070626</v>
      </c>
    </row>
    <row r="109" customFormat="false" ht="15" hidden="false" customHeight="false" outlineLevel="0" collapsed="false">
      <c r="A109" s="31" t="s">
        <v>85</v>
      </c>
      <c r="B109" s="31" t="s">
        <v>290</v>
      </c>
      <c r="C109" s="14" t="n">
        <f aca="false">COUNTIFS('Recruiter Activity'!$B$4:$B$804,A109,'Recruiter Activity'!$C$4:$C$804,B109)</f>
        <v>1</v>
      </c>
      <c r="D109" s="14" t="n">
        <f aca="false">SUMIFS('Recruiter Activity'!$E$4:$E$804,'Recruiter Activity'!$B$4:$B$804,A109,'Recruiter Activity'!$C$4:$C$804,B109)</f>
        <v>112</v>
      </c>
      <c r="E109" s="14" t="n">
        <f aca="false">SUMIFS('Recruiter Activity'!$F$4:$F$804,'Recruiter Activity'!$B$4:$B$804,A109,'Recruiter Activity'!$C$4:$C$804,B109)</f>
        <v>0</v>
      </c>
      <c r="F109" s="14" t="n">
        <f aca="false">SUMIFS('Recruiter Activity'!$G$4:$G$804,'Recruiter Activity'!$B$4:$B$804,A109,'Recruiter Activity'!$C$4:$C$804,B109)</f>
        <v>89</v>
      </c>
      <c r="G109" s="14" t="n">
        <f aca="false">SUMIFS('Recruiter Activity'!$H$4:$H$804,'Recruiter Activity'!$B$4:$B$804,A109,'Recruiter Activity'!$C$4:$C$804,B109)</f>
        <v>71</v>
      </c>
      <c r="H109" s="16" t="n">
        <f aca="false">IFERROR(G109/F109,"")</f>
        <v>0.797752808988764</v>
      </c>
    </row>
    <row r="110" customFormat="false" ht="15" hidden="false" customHeight="false" outlineLevel="0" collapsed="false">
      <c r="A110" s="31" t="s">
        <v>85</v>
      </c>
      <c r="B110" s="31" t="s">
        <v>292</v>
      </c>
      <c r="C110" s="14" t="n">
        <f aca="false">COUNTIFS('Recruiter Activity'!$B$4:$B$804,A110,'Recruiter Activity'!$C$4:$C$804,B110)</f>
        <v>1</v>
      </c>
      <c r="D110" s="14" t="n">
        <f aca="false">SUMIFS('Recruiter Activity'!$E$4:$E$804,'Recruiter Activity'!$B$4:$B$804,A110,'Recruiter Activity'!$C$4:$C$804,B110)</f>
        <v>15</v>
      </c>
      <c r="E110" s="14" t="n">
        <f aca="false">SUMIFS('Recruiter Activity'!$F$4:$F$804,'Recruiter Activity'!$B$4:$B$804,A110,'Recruiter Activity'!$C$4:$C$804,B110)</f>
        <v>0</v>
      </c>
      <c r="F110" s="14" t="n">
        <f aca="false">SUMIFS('Recruiter Activity'!$G$4:$G$804,'Recruiter Activity'!$B$4:$B$804,A110,'Recruiter Activity'!$C$4:$C$804,B110)</f>
        <v>14</v>
      </c>
      <c r="G110" s="14" t="n">
        <f aca="false">SUMIFS('Recruiter Activity'!$H$4:$H$804,'Recruiter Activity'!$B$4:$B$804,A110,'Recruiter Activity'!$C$4:$C$804,B110)</f>
        <v>14</v>
      </c>
      <c r="H110" s="16" t="n">
        <f aca="false">IFERROR(G110/F110,"")</f>
        <v>1</v>
      </c>
    </row>
    <row r="111" customFormat="false" ht="15" hidden="false" customHeight="false" outlineLevel="0" collapsed="false">
      <c r="A111" s="31" t="s">
        <v>85</v>
      </c>
      <c r="B111" s="31" t="s">
        <v>294</v>
      </c>
      <c r="C111" s="14" t="n">
        <f aca="false">COUNTIFS('Recruiter Activity'!$B$4:$B$804,A111,'Recruiter Activity'!$C$4:$C$804,B111)</f>
        <v>1</v>
      </c>
      <c r="D111" s="14" t="n">
        <f aca="false">SUMIFS('Recruiter Activity'!$E$4:$E$804,'Recruiter Activity'!$B$4:$B$804,A111,'Recruiter Activity'!$C$4:$C$804,B111)</f>
        <v>28</v>
      </c>
      <c r="E111" s="14" t="n">
        <f aca="false">SUMIFS('Recruiter Activity'!$F$4:$F$804,'Recruiter Activity'!$B$4:$B$804,A111,'Recruiter Activity'!$C$4:$C$804,B111)</f>
        <v>0</v>
      </c>
      <c r="F111" s="14" t="n">
        <f aca="false">SUMIFS('Recruiter Activity'!$G$4:$G$804,'Recruiter Activity'!$B$4:$B$804,A111,'Recruiter Activity'!$C$4:$C$804,B111)</f>
        <v>24</v>
      </c>
      <c r="G111" s="14" t="n">
        <f aca="false">SUMIFS('Recruiter Activity'!$H$4:$H$804,'Recruiter Activity'!$B$4:$B$804,A111,'Recruiter Activity'!$C$4:$C$804,B111)</f>
        <v>22</v>
      </c>
      <c r="H111" s="16" t="n">
        <f aca="false">IFERROR(G111/F111,"")</f>
        <v>0.916666666666667</v>
      </c>
    </row>
    <row r="112" customFormat="false" ht="15" hidden="false" customHeight="false" outlineLevel="0" collapsed="false">
      <c r="A112" s="31" t="s">
        <v>85</v>
      </c>
      <c r="B112" s="31" t="s">
        <v>296</v>
      </c>
      <c r="C112" s="14" t="n">
        <f aca="false">COUNTIFS('Recruiter Activity'!$B$4:$B$804,A112,'Recruiter Activity'!$C$4:$C$804,B112)</f>
        <v>1</v>
      </c>
      <c r="D112" s="14" t="n">
        <f aca="false">SUMIFS('Recruiter Activity'!$E$4:$E$804,'Recruiter Activity'!$B$4:$B$804,A112,'Recruiter Activity'!$C$4:$C$804,B112)</f>
        <v>2</v>
      </c>
      <c r="E112" s="14" t="n">
        <f aca="false">SUMIFS('Recruiter Activity'!$F$4:$F$804,'Recruiter Activity'!$B$4:$B$804,A112,'Recruiter Activity'!$C$4:$C$804,B112)</f>
        <v>0</v>
      </c>
      <c r="F112" s="14" t="n">
        <f aca="false">SUMIFS('Recruiter Activity'!$G$4:$G$804,'Recruiter Activity'!$B$4:$B$804,A112,'Recruiter Activity'!$C$4:$C$804,B112)</f>
        <v>1</v>
      </c>
      <c r="G112" s="14" t="n">
        <f aca="false">SUMIFS('Recruiter Activity'!$H$4:$H$804,'Recruiter Activity'!$B$4:$B$804,A112,'Recruiter Activity'!$C$4:$C$804,B112)</f>
        <v>1</v>
      </c>
      <c r="H112" s="16" t="n">
        <f aca="false">IFERROR(G112/F112,"")</f>
        <v>1</v>
      </c>
    </row>
    <row r="113" customFormat="false" ht="15" hidden="false" customHeight="false" outlineLevel="0" collapsed="false">
      <c r="A113" s="31" t="s">
        <v>85</v>
      </c>
      <c r="B113" s="31" t="s">
        <v>298</v>
      </c>
      <c r="C113" s="14" t="n">
        <f aca="false">COUNTIFS('Recruiter Activity'!$B$4:$B$804,A113,'Recruiter Activity'!$C$4:$C$804,B113)</f>
        <v>1</v>
      </c>
      <c r="D113" s="14" t="n">
        <f aca="false">SUMIFS('Recruiter Activity'!$E$4:$E$804,'Recruiter Activity'!$B$4:$B$804,A113,'Recruiter Activity'!$C$4:$C$804,B113)</f>
        <v>92</v>
      </c>
      <c r="E113" s="14" t="n">
        <f aca="false">SUMIFS('Recruiter Activity'!$F$4:$F$804,'Recruiter Activity'!$B$4:$B$804,A113,'Recruiter Activity'!$C$4:$C$804,B113)</f>
        <v>0</v>
      </c>
      <c r="F113" s="14" t="n">
        <f aca="false">SUMIFS('Recruiter Activity'!$G$4:$G$804,'Recruiter Activity'!$B$4:$B$804,A113,'Recruiter Activity'!$C$4:$C$804,B113)</f>
        <v>84</v>
      </c>
      <c r="G113" s="14" t="n">
        <f aca="false">SUMIFS('Recruiter Activity'!$H$4:$H$804,'Recruiter Activity'!$B$4:$B$804,A113,'Recruiter Activity'!$C$4:$C$804,B113)</f>
        <v>36</v>
      </c>
      <c r="H113" s="16" t="n">
        <f aca="false">IFERROR(G113/F113,"")</f>
        <v>0.428571428571429</v>
      </c>
    </row>
    <row r="114" customFormat="false" ht="15" hidden="false" customHeight="false" outlineLevel="0" collapsed="false">
      <c r="A114" s="31" t="s">
        <v>85</v>
      </c>
      <c r="B114" s="31" t="s">
        <v>300</v>
      </c>
      <c r="C114" s="14" t="n">
        <f aca="false">COUNTIFS('Recruiter Activity'!$B$4:$B$804,A114,'Recruiter Activity'!$C$4:$C$804,B114)</f>
        <v>1</v>
      </c>
      <c r="D114" s="14" t="n">
        <f aca="false">SUMIFS('Recruiter Activity'!$E$4:$E$804,'Recruiter Activity'!$B$4:$B$804,A114,'Recruiter Activity'!$C$4:$C$804,B114)</f>
        <v>296</v>
      </c>
      <c r="E114" s="14" t="n">
        <f aca="false">SUMIFS('Recruiter Activity'!$F$4:$F$804,'Recruiter Activity'!$B$4:$B$804,A114,'Recruiter Activity'!$C$4:$C$804,B114)</f>
        <v>0</v>
      </c>
      <c r="F114" s="14" t="n">
        <f aca="false">SUMIFS('Recruiter Activity'!$G$4:$G$804,'Recruiter Activity'!$B$4:$B$804,A114,'Recruiter Activity'!$C$4:$C$804,B114)</f>
        <v>284</v>
      </c>
      <c r="G114" s="14" t="n">
        <f aca="false">SUMIFS('Recruiter Activity'!$H$4:$H$804,'Recruiter Activity'!$B$4:$B$804,A114,'Recruiter Activity'!$C$4:$C$804,B114)</f>
        <v>253</v>
      </c>
      <c r="H114" s="16" t="n">
        <f aca="false">IFERROR(G114/F114,"")</f>
        <v>0.890845070422535</v>
      </c>
    </row>
    <row r="115" customFormat="false" ht="15" hidden="false" customHeight="false" outlineLevel="0" collapsed="false">
      <c r="A115" s="31" t="s">
        <v>85</v>
      </c>
      <c r="B115" s="31" t="s">
        <v>302</v>
      </c>
      <c r="C115" s="14" t="n">
        <f aca="false">COUNTIFS('Recruiter Activity'!$B$4:$B$804,A115,'Recruiter Activity'!$C$4:$C$804,B115)</f>
        <v>1</v>
      </c>
      <c r="D115" s="14" t="n">
        <f aca="false">SUMIFS('Recruiter Activity'!$E$4:$E$804,'Recruiter Activity'!$B$4:$B$804,A115,'Recruiter Activity'!$C$4:$C$804,B115)</f>
        <v>13</v>
      </c>
      <c r="E115" s="14" t="n">
        <f aca="false">SUMIFS('Recruiter Activity'!$F$4:$F$804,'Recruiter Activity'!$B$4:$B$804,A115,'Recruiter Activity'!$C$4:$C$804,B115)</f>
        <v>0</v>
      </c>
      <c r="F115" s="14" t="n">
        <f aca="false">SUMIFS('Recruiter Activity'!$G$4:$G$804,'Recruiter Activity'!$B$4:$B$804,A115,'Recruiter Activity'!$C$4:$C$804,B115)</f>
        <v>13</v>
      </c>
      <c r="G115" s="14" t="n">
        <f aca="false">SUMIFS('Recruiter Activity'!$H$4:$H$804,'Recruiter Activity'!$B$4:$B$804,A115,'Recruiter Activity'!$C$4:$C$804,B115)</f>
        <v>11</v>
      </c>
      <c r="H115" s="16" t="n">
        <f aca="false">IFERROR(G115/F115,"")</f>
        <v>0.846153846153846</v>
      </c>
    </row>
    <row r="116" customFormat="false" ht="15" hidden="false" customHeight="false" outlineLevel="0" collapsed="false">
      <c r="A116" s="31" t="s">
        <v>85</v>
      </c>
      <c r="B116" s="31" t="s">
        <v>304</v>
      </c>
      <c r="C116" s="14" t="n">
        <f aca="false">COUNTIFS('Recruiter Activity'!$B$4:$B$804,A116,'Recruiter Activity'!$C$4:$C$804,B116)</f>
        <v>1</v>
      </c>
      <c r="D116" s="14" t="n">
        <f aca="false">SUMIFS('Recruiter Activity'!$E$4:$E$804,'Recruiter Activity'!$B$4:$B$804,A116,'Recruiter Activity'!$C$4:$C$804,B116)</f>
        <v>29</v>
      </c>
      <c r="E116" s="14" t="n">
        <f aca="false">SUMIFS('Recruiter Activity'!$F$4:$F$804,'Recruiter Activity'!$B$4:$B$804,A116,'Recruiter Activity'!$C$4:$C$804,B116)</f>
        <v>0</v>
      </c>
      <c r="F116" s="14" t="n">
        <f aca="false">SUMIFS('Recruiter Activity'!$G$4:$G$804,'Recruiter Activity'!$B$4:$B$804,A116,'Recruiter Activity'!$C$4:$C$804,B116)</f>
        <v>28</v>
      </c>
      <c r="G116" s="14" t="n">
        <f aca="false">SUMIFS('Recruiter Activity'!$H$4:$H$804,'Recruiter Activity'!$B$4:$B$804,A116,'Recruiter Activity'!$C$4:$C$804,B116)</f>
        <v>24</v>
      </c>
      <c r="H116" s="16" t="n">
        <f aca="false">IFERROR(G116/F116,"")</f>
        <v>0.857142857142857</v>
      </c>
    </row>
    <row r="117" customFormat="false" ht="15" hidden="false" customHeight="false" outlineLevel="0" collapsed="false">
      <c r="A117" s="31" t="s">
        <v>85</v>
      </c>
      <c r="B117" s="31" t="s">
        <v>306</v>
      </c>
      <c r="C117" s="14" t="n">
        <f aca="false">COUNTIFS('Recruiter Activity'!$B$4:$B$804,A117,'Recruiter Activity'!$C$4:$C$804,B117)</f>
        <v>1</v>
      </c>
      <c r="D117" s="14" t="n">
        <f aca="false">SUMIFS('Recruiter Activity'!$E$4:$E$804,'Recruiter Activity'!$B$4:$B$804,A117,'Recruiter Activity'!$C$4:$C$804,B117)</f>
        <v>1</v>
      </c>
      <c r="E117" s="14" t="n">
        <f aca="false">SUMIFS('Recruiter Activity'!$F$4:$F$804,'Recruiter Activity'!$B$4:$B$804,A117,'Recruiter Activity'!$C$4:$C$804,B117)</f>
        <v>0</v>
      </c>
      <c r="F117" s="14" t="n">
        <f aca="false">SUMIFS('Recruiter Activity'!$G$4:$G$804,'Recruiter Activity'!$B$4:$B$804,A117,'Recruiter Activity'!$C$4:$C$804,B117)</f>
        <v>1</v>
      </c>
      <c r="G117" s="14" t="n">
        <f aca="false">SUMIFS('Recruiter Activity'!$H$4:$H$804,'Recruiter Activity'!$B$4:$B$804,A117,'Recruiter Activity'!$C$4:$C$804,B117)</f>
        <v>0</v>
      </c>
      <c r="H117" s="16" t="n">
        <f aca="false">IFERROR(G117/F117,"")</f>
        <v>0</v>
      </c>
    </row>
    <row r="118" customFormat="false" ht="15" hidden="false" customHeight="false" outlineLevel="0" collapsed="false">
      <c r="A118" s="31" t="s">
        <v>85</v>
      </c>
      <c r="B118" s="31" t="s">
        <v>308</v>
      </c>
      <c r="C118" s="14" t="n">
        <f aca="false">COUNTIFS('Recruiter Activity'!$B$4:$B$804,A118,'Recruiter Activity'!$C$4:$C$804,B118)</f>
        <v>1</v>
      </c>
      <c r="D118" s="14" t="n">
        <f aca="false">SUMIFS('Recruiter Activity'!$E$4:$E$804,'Recruiter Activity'!$B$4:$B$804,A118,'Recruiter Activity'!$C$4:$C$804,B118)</f>
        <v>1</v>
      </c>
      <c r="E118" s="14" t="n">
        <f aca="false">SUMIFS('Recruiter Activity'!$F$4:$F$804,'Recruiter Activity'!$B$4:$B$804,A118,'Recruiter Activity'!$C$4:$C$804,B118)</f>
        <v>0</v>
      </c>
      <c r="F118" s="14" t="n">
        <f aca="false">SUMIFS('Recruiter Activity'!$G$4:$G$804,'Recruiter Activity'!$B$4:$B$804,A118,'Recruiter Activity'!$C$4:$C$804,B118)</f>
        <v>1</v>
      </c>
      <c r="G118" s="14" t="n">
        <f aca="false">SUMIFS('Recruiter Activity'!$H$4:$H$804,'Recruiter Activity'!$B$4:$B$804,A118,'Recruiter Activity'!$C$4:$C$804,B118)</f>
        <v>1</v>
      </c>
      <c r="H118" s="16" t="n">
        <f aca="false">IFERROR(G118/F118,"")</f>
        <v>1</v>
      </c>
    </row>
    <row r="119" customFormat="false" ht="15" hidden="false" customHeight="false" outlineLevel="0" collapsed="false">
      <c r="A119" s="31" t="s">
        <v>85</v>
      </c>
      <c r="B119" s="31" t="s">
        <v>310</v>
      </c>
      <c r="C119" s="14" t="n">
        <f aca="false">COUNTIFS('Recruiter Activity'!$B$4:$B$804,A119,'Recruiter Activity'!$C$4:$C$804,B119)</f>
        <v>1</v>
      </c>
      <c r="D119" s="14" t="n">
        <f aca="false">SUMIFS('Recruiter Activity'!$E$4:$E$804,'Recruiter Activity'!$B$4:$B$804,A119,'Recruiter Activity'!$C$4:$C$804,B119)</f>
        <v>23</v>
      </c>
      <c r="E119" s="14" t="n">
        <f aca="false">SUMIFS('Recruiter Activity'!$F$4:$F$804,'Recruiter Activity'!$B$4:$B$804,A119,'Recruiter Activity'!$C$4:$C$804,B119)</f>
        <v>0</v>
      </c>
      <c r="F119" s="14" t="n">
        <f aca="false">SUMIFS('Recruiter Activity'!$G$4:$G$804,'Recruiter Activity'!$B$4:$B$804,A119,'Recruiter Activity'!$C$4:$C$804,B119)</f>
        <v>21</v>
      </c>
      <c r="G119" s="14" t="n">
        <f aca="false">SUMIFS('Recruiter Activity'!$H$4:$H$804,'Recruiter Activity'!$B$4:$B$804,A119,'Recruiter Activity'!$C$4:$C$804,B119)</f>
        <v>15</v>
      </c>
      <c r="H119" s="16" t="n">
        <f aca="false">IFERROR(G119/F119,"")</f>
        <v>0.714285714285714</v>
      </c>
    </row>
    <row r="120" customFormat="false" ht="15" hidden="false" customHeight="false" outlineLevel="0" collapsed="false">
      <c r="A120" s="31" t="s">
        <v>85</v>
      </c>
      <c r="B120" s="31" t="s">
        <v>312</v>
      </c>
      <c r="C120" s="14" t="n">
        <f aca="false">COUNTIFS('Recruiter Activity'!$B$4:$B$804,A120,'Recruiter Activity'!$C$4:$C$804,B120)</f>
        <v>1</v>
      </c>
      <c r="D120" s="14" t="n">
        <f aca="false">SUMIFS('Recruiter Activity'!$E$4:$E$804,'Recruiter Activity'!$B$4:$B$804,A120,'Recruiter Activity'!$C$4:$C$804,B120)</f>
        <v>1</v>
      </c>
      <c r="E120" s="14" t="n">
        <f aca="false">SUMIFS('Recruiter Activity'!$F$4:$F$804,'Recruiter Activity'!$B$4:$B$804,A120,'Recruiter Activity'!$C$4:$C$804,B120)</f>
        <v>0</v>
      </c>
      <c r="F120" s="14" t="n">
        <f aca="false">SUMIFS('Recruiter Activity'!$G$4:$G$804,'Recruiter Activity'!$B$4:$B$804,A120,'Recruiter Activity'!$C$4:$C$804,B120)</f>
        <v>1</v>
      </c>
      <c r="G120" s="14" t="n">
        <f aca="false">SUMIFS('Recruiter Activity'!$H$4:$H$804,'Recruiter Activity'!$B$4:$B$804,A120,'Recruiter Activity'!$C$4:$C$804,B120)</f>
        <v>0</v>
      </c>
      <c r="H120" s="16" t="n">
        <f aca="false">IFERROR(G120/F120,"")</f>
        <v>0</v>
      </c>
    </row>
    <row r="121" customFormat="false" ht="15" hidden="false" customHeight="false" outlineLevel="0" collapsed="false">
      <c r="A121" s="31" t="s">
        <v>85</v>
      </c>
      <c r="B121" s="31" t="s">
        <v>314</v>
      </c>
      <c r="C121" s="14" t="n">
        <f aca="false">COUNTIFS('Recruiter Activity'!$B$4:$B$804,A121,'Recruiter Activity'!$C$4:$C$804,B121)</f>
        <v>1</v>
      </c>
      <c r="D121" s="14" t="n">
        <f aca="false">SUMIFS('Recruiter Activity'!$E$4:$E$804,'Recruiter Activity'!$B$4:$B$804,A121,'Recruiter Activity'!$C$4:$C$804,B121)</f>
        <v>64</v>
      </c>
      <c r="E121" s="14" t="n">
        <f aca="false">SUMIFS('Recruiter Activity'!$F$4:$F$804,'Recruiter Activity'!$B$4:$B$804,A121,'Recruiter Activity'!$C$4:$C$804,B121)</f>
        <v>0</v>
      </c>
      <c r="F121" s="14" t="n">
        <f aca="false">SUMIFS('Recruiter Activity'!$G$4:$G$804,'Recruiter Activity'!$B$4:$B$804,A121,'Recruiter Activity'!$C$4:$C$804,B121)</f>
        <v>59</v>
      </c>
      <c r="G121" s="14" t="n">
        <f aca="false">SUMIFS('Recruiter Activity'!$H$4:$H$804,'Recruiter Activity'!$B$4:$B$804,A121,'Recruiter Activity'!$C$4:$C$804,B121)</f>
        <v>50</v>
      </c>
      <c r="H121" s="16" t="n">
        <f aca="false">IFERROR(G121/F121,"")</f>
        <v>0.847457627118644</v>
      </c>
    </row>
    <row r="122" customFormat="false" ht="15" hidden="false" customHeight="false" outlineLevel="0" collapsed="false">
      <c r="A122" s="31" t="s">
        <v>85</v>
      </c>
      <c r="B122" s="31" t="s">
        <v>316</v>
      </c>
      <c r="C122" s="14" t="n">
        <f aca="false">COUNTIFS('Recruiter Activity'!$B$4:$B$804,A122,'Recruiter Activity'!$C$4:$C$804,B122)</f>
        <v>1</v>
      </c>
      <c r="D122" s="14" t="n">
        <f aca="false">SUMIFS('Recruiter Activity'!$E$4:$E$804,'Recruiter Activity'!$B$4:$B$804,A122,'Recruiter Activity'!$C$4:$C$804,B122)</f>
        <v>269</v>
      </c>
      <c r="E122" s="14" t="n">
        <f aca="false">SUMIFS('Recruiter Activity'!$F$4:$F$804,'Recruiter Activity'!$B$4:$B$804,A122,'Recruiter Activity'!$C$4:$C$804,B122)</f>
        <v>0</v>
      </c>
      <c r="F122" s="14" t="n">
        <f aca="false">SUMIFS('Recruiter Activity'!$G$4:$G$804,'Recruiter Activity'!$B$4:$B$804,A122,'Recruiter Activity'!$C$4:$C$804,B122)</f>
        <v>245</v>
      </c>
      <c r="G122" s="14" t="n">
        <f aca="false">SUMIFS('Recruiter Activity'!$H$4:$H$804,'Recruiter Activity'!$B$4:$B$804,A122,'Recruiter Activity'!$C$4:$C$804,B122)</f>
        <v>195</v>
      </c>
      <c r="H122" s="16" t="n">
        <f aca="false">IFERROR(G122/F122,"")</f>
        <v>0.795918367346939</v>
      </c>
    </row>
    <row r="123" customFormat="false" ht="15" hidden="false" customHeight="false" outlineLevel="0" collapsed="false">
      <c r="A123" s="31" t="s">
        <v>85</v>
      </c>
      <c r="B123" s="31" t="s">
        <v>318</v>
      </c>
      <c r="C123" s="14" t="n">
        <f aca="false">COUNTIFS('Recruiter Activity'!$B$4:$B$804,A123,'Recruiter Activity'!$C$4:$C$804,B123)</f>
        <v>1</v>
      </c>
      <c r="D123" s="14" t="n">
        <f aca="false">SUMIFS('Recruiter Activity'!$E$4:$E$804,'Recruiter Activity'!$B$4:$B$804,A123,'Recruiter Activity'!$C$4:$C$804,B123)</f>
        <v>385</v>
      </c>
      <c r="E123" s="14" t="n">
        <f aca="false">SUMIFS('Recruiter Activity'!$F$4:$F$804,'Recruiter Activity'!$B$4:$B$804,A123,'Recruiter Activity'!$C$4:$C$804,B123)</f>
        <v>0</v>
      </c>
      <c r="F123" s="14" t="n">
        <f aca="false">SUMIFS('Recruiter Activity'!$G$4:$G$804,'Recruiter Activity'!$B$4:$B$804,A123,'Recruiter Activity'!$C$4:$C$804,B123)</f>
        <v>356</v>
      </c>
      <c r="G123" s="14" t="n">
        <f aca="false">SUMIFS('Recruiter Activity'!$H$4:$H$804,'Recruiter Activity'!$B$4:$B$804,A123,'Recruiter Activity'!$C$4:$C$804,B123)</f>
        <v>288</v>
      </c>
      <c r="H123" s="16" t="n">
        <f aca="false">IFERROR(G123/F123,"")</f>
        <v>0.808988764044944</v>
      </c>
    </row>
    <row r="124" customFormat="false" ht="15" hidden="false" customHeight="false" outlineLevel="0" collapsed="false">
      <c r="A124" s="31" t="s">
        <v>85</v>
      </c>
      <c r="B124" s="31" t="s">
        <v>320</v>
      </c>
      <c r="C124" s="14" t="n">
        <f aca="false">COUNTIFS('Recruiter Activity'!$B$4:$B$804,A124,'Recruiter Activity'!$C$4:$C$804,B124)</f>
        <v>1</v>
      </c>
      <c r="D124" s="14" t="n">
        <f aca="false">SUMIFS('Recruiter Activity'!$E$4:$E$804,'Recruiter Activity'!$B$4:$B$804,A124,'Recruiter Activity'!$C$4:$C$804,B124)</f>
        <v>26</v>
      </c>
      <c r="E124" s="14" t="n">
        <f aca="false">SUMIFS('Recruiter Activity'!$F$4:$F$804,'Recruiter Activity'!$B$4:$B$804,A124,'Recruiter Activity'!$C$4:$C$804,B124)</f>
        <v>0</v>
      </c>
      <c r="F124" s="14" t="n">
        <f aca="false">SUMIFS('Recruiter Activity'!$G$4:$G$804,'Recruiter Activity'!$B$4:$B$804,A124,'Recruiter Activity'!$C$4:$C$804,B124)</f>
        <v>23</v>
      </c>
      <c r="G124" s="14" t="n">
        <f aca="false">SUMIFS('Recruiter Activity'!$H$4:$H$804,'Recruiter Activity'!$B$4:$B$804,A124,'Recruiter Activity'!$C$4:$C$804,B124)</f>
        <v>19</v>
      </c>
      <c r="H124" s="16" t="n">
        <f aca="false">IFERROR(G124/F124,"")</f>
        <v>0.826086956521739</v>
      </c>
    </row>
    <row r="125" customFormat="false" ht="15" hidden="false" customHeight="false" outlineLevel="0" collapsed="false">
      <c r="A125" s="31" t="s">
        <v>85</v>
      </c>
      <c r="B125" s="31" t="s">
        <v>322</v>
      </c>
      <c r="C125" s="14" t="n">
        <f aca="false">COUNTIFS('Recruiter Activity'!$B$4:$B$804,A125,'Recruiter Activity'!$C$4:$C$804,B125)</f>
        <v>1</v>
      </c>
      <c r="D125" s="14" t="n">
        <f aca="false">SUMIFS('Recruiter Activity'!$E$4:$E$804,'Recruiter Activity'!$B$4:$B$804,A125,'Recruiter Activity'!$C$4:$C$804,B125)</f>
        <v>1</v>
      </c>
      <c r="E125" s="14" t="n">
        <f aca="false">SUMIFS('Recruiter Activity'!$F$4:$F$804,'Recruiter Activity'!$B$4:$B$804,A125,'Recruiter Activity'!$C$4:$C$804,B125)</f>
        <v>0</v>
      </c>
      <c r="F125" s="14" t="n">
        <f aca="false">SUMIFS('Recruiter Activity'!$G$4:$G$804,'Recruiter Activity'!$B$4:$B$804,A125,'Recruiter Activity'!$C$4:$C$804,B125)</f>
        <v>1</v>
      </c>
      <c r="G125" s="14" t="n">
        <f aca="false">SUMIFS('Recruiter Activity'!$H$4:$H$804,'Recruiter Activity'!$B$4:$B$804,A125,'Recruiter Activity'!$C$4:$C$804,B125)</f>
        <v>1</v>
      </c>
      <c r="H125" s="16" t="n">
        <f aca="false">IFERROR(G125/F125,"")</f>
        <v>1</v>
      </c>
    </row>
    <row r="126" customFormat="false" ht="15" hidden="false" customHeight="false" outlineLevel="0" collapsed="false">
      <c r="A126" s="31" t="s">
        <v>85</v>
      </c>
      <c r="B126" s="31" t="s">
        <v>324</v>
      </c>
      <c r="C126" s="14" t="n">
        <f aca="false">COUNTIFS('Recruiter Activity'!$B$4:$B$804,A126,'Recruiter Activity'!$C$4:$C$804,B126)</f>
        <v>1</v>
      </c>
      <c r="D126" s="14" t="n">
        <f aca="false">SUMIFS('Recruiter Activity'!$E$4:$E$804,'Recruiter Activity'!$B$4:$B$804,A126,'Recruiter Activity'!$C$4:$C$804,B126)</f>
        <v>22</v>
      </c>
      <c r="E126" s="14" t="n">
        <f aca="false">SUMIFS('Recruiter Activity'!$F$4:$F$804,'Recruiter Activity'!$B$4:$B$804,A126,'Recruiter Activity'!$C$4:$C$804,B126)</f>
        <v>0</v>
      </c>
      <c r="F126" s="14" t="n">
        <f aca="false">SUMIFS('Recruiter Activity'!$G$4:$G$804,'Recruiter Activity'!$B$4:$B$804,A126,'Recruiter Activity'!$C$4:$C$804,B126)</f>
        <v>20</v>
      </c>
      <c r="G126" s="14" t="n">
        <f aca="false">SUMIFS('Recruiter Activity'!$H$4:$H$804,'Recruiter Activity'!$B$4:$B$804,A126,'Recruiter Activity'!$C$4:$C$804,B126)</f>
        <v>15</v>
      </c>
      <c r="H126" s="16" t="n">
        <f aca="false">IFERROR(G126/F126,"")</f>
        <v>0.75</v>
      </c>
    </row>
    <row r="127" customFormat="false" ht="15" hidden="false" customHeight="false" outlineLevel="0" collapsed="false">
      <c r="A127" s="31" t="s">
        <v>85</v>
      </c>
      <c r="B127" s="31" t="s">
        <v>326</v>
      </c>
      <c r="C127" s="14" t="n">
        <f aca="false">COUNTIFS('Recruiter Activity'!$B$4:$B$804,A127,'Recruiter Activity'!$C$4:$C$804,B127)</f>
        <v>1</v>
      </c>
      <c r="D127" s="14" t="n">
        <f aca="false">SUMIFS('Recruiter Activity'!$E$4:$E$804,'Recruiter Activity'!$B$4:$B$804,A127,'Recruiter Activity'!$C$4:$C$804,B127)</f>
        <v>8</v>
      </c>
      <c r="E127" s="14" t="n">
        <f aca="false">SUMIFS('Recruiter Activity'!$F$4:$F$804,'Recruiter Activity'!$B$4:$B$804,A127,'Recruiter Activity'!$C$4:$C$804,B127)</f>
        <v>0</v>
      </c>
      <c r="F127" s="14" t="n">
        <f aca="false">SUMIFS('Recruiter Activity'!$G$4:$G$804,'Recruiter Activity'!$B$4:$B$804,A127,'Recruiter Activity'!$C$4:$C$804,B127)</f>
        <v>4</v>
      </c>
      <c r="G127" s="14" t="n">
        <f aca="false">SUMIFS('Recruiter Activity'!$H$4:$H$804,'Recruiter Activity'!$B$4:$B$804,A127,'Recruiter Activity'!$C$4:$C$804,B127)</f>
        <v>4</v>
      </c>
      <c r="H127" s="16" t="n">
        <f aca="false">IFERROR(G127/F127,"")</f>
        <v>1</v>
      </c>
    </row>
    <row r="128" customFormat="false" ht="15" hidden="false" customHeight="false" outlineLevel="0" collapsed="false">
      <c r="A128" s="31" t="s">
        <v>85</v>
      </c>
      <c r="B128" s="31" t="s">
        <v>328</v>
      </c>
      <c r="C128" s="14" t="n">
        <f aca="false">COUNTIFS('Recruiter Activity'!$B$4:$B$804,A128,'Recruiter Activity'!$C$4:$C$804,B128)</f>
        <v>1</v>
      </c>
      <c r="D128" s="14" t="n">
        <f aca="false">SUMIFS('Recruiter Activity'!$E$4:$E$804,'Recruiter Activity'!$B$4:$B$804,A128,'Recruiter Activity'!$C$4:$C$804,B128)</f>
        <v>5</v>
      </c>
      <c r="E128" s="14" t="n">
        <f aca="false">SUMIFS('Recruiter Activity'!$F$4:$F$804,'Recruiter Activity'!$B$4:$B$804,A128,'Recruiter Activity'!$C$4:$C$804,B128)</f>
        <v>0</v>
      </c>
      <c r="F128" s="14" t="n">
        <f aca="false">SUMIFS('Recruiter Activity'!$G$4:$G$804,'Recruiter Activity'!$B$4:$B$804,A128,'Recruiter Activity'!$C$4:$C$804,B128)</f>
        <v>3</v>
      </c>
      <c r="G128" s="14" t="n">
        <f aca="false">SUMIFS('Recruiter Activity'!$H$4:$H$804,'Recruiter Activity'!$B$4:$B$804,A128,'Recruiter Activity'!$C$4:$C$804,B128)</f>
        <v>3</v>
      </c>
      <c r="H128" s="16" t="n">
        <f aca="false">IFERROR(G128/F128,"")</f>
        <v>1</v>
      </c>
    </row>
    <row r="129" customFormat="false" ht="15" hidden="false" customHeight="false" outlineLevel="0" collapsed="false">
      <c r="A129" s="31" t="s">
        <v>85</v>
      </c>
      <c r="B129" s="31" t="s">
        <v>272</v>
      </c>
      <c r="C129" s="14" t="n">
        <f aca="false">COUNTIFS('Recruiter Activity'!$B$4:$B$804,A129,'Recruiter Activity'!$C$4:$C$804,B129)</f>
        <v>1</v>
      </c>
      <c r="D129" s="14" t="n">
        <f aca="false">SUMIFS('Recruiter Activity'!$E$4:$E$804,'Recruiter Activity'!$B$4:$B$804,A129,'Recruiter Activity'!$C$4:$C$804,B129)</f>
        <v>1</v>
      </c>
      <c r="E129" s="14" t="n">
        <f aca="false">SUMIFS('Recruiter Activity'!$F$4:$F$804,'Recruiter Activity'!$B$4:$B$804,A129,'Recruiter Activity'!$C$4:$C$804,B129)</f>
        <v>0</v>
      </c>
      <c r="F129" s="14" t="n">
        <f aca="false">SUMIFS('Recruiter Activity'!$G$4:$G$804,'Recruiter Activity'!$B$4:$B$804,A129,'Recruiter Activity'!$C$4:$C$804,B129)</f>
        <v>1</v>
      </c>
      <c r="G129" s="14" t="n">
        <f aca="false">SUMIFS('Recruiter Activity'!$H$4:$H$804,'Recruiter Activity'!$B$4:$B$804,A129,'Recruiter Activity'!$C$4:$C$804,B129)</f>
        <v>1</v>
      </c>
      <c r="H129" s="16" t="n">
        <f aca="false">IFERROR(G129/F129,"")</f>
        <v>1</v>
      </c>
    </row>
    <row r="130" customFormat="false" ht="15" hidden="false" customHeight="false" outlineLevel="0" collapsed="false">
      <c r="A130" s="31" t="s">
        <v>85</v>
      </c>
      <c r="B130" s="31" t="s">
        <v>331</v>
      </c>
      <c r="C130" s="14" t="n">
        <f aca="false">COUNTIFS('Recruiter Activity'!$B$4:$B$804,A130,'Recruiter Activity'!$C$4:$C$804,B130)</f>
        <v>1</v>
      </c>
      <c r="D130" s="14" t="n">
        <f aca="false">SUMIFS('Recruiter Activity'!$E$4:$E$804,'Recruiter Activity'!$B$4:$B$804,A130,'Recruiter Activity'!$C$4:$C$804,B130)</f>
        <v>118</v>
      </c>
      <c r="E130" s="14" t="n">
        <f aca="false">SUMIFS('Recruiter Activity'!$F$4:$F$804,'Recruiter Activity'!$B$4:$B$804,A130,'Recruiter Activity'!$C$4:$C$804,B130)</f>
        <v>0</v>
      </c>
      <c r="F130" s="14" t="n">
        <f aca="false">SUMIFS('Recruiter Activity'!$G$4:$G$804,'Recruiter Activity'!$B$4:$B$804,A130,'Recruiter Activity'!$C$4:$C$804,B130)</f>
        <v>113</v>
      </c>
      <c r="G130" s="14" t="n">
        <f aca="false">SUMIFS('Recruiter Activity'!$H$4:$H$804,'Recruiter Activity'!$B$4:$B$804,A130,'Recruiter Activity'!$C$4:$C$804,B130)</f>
        <v>90</v>
      </c>
      <c r="H130" s="16" t="n">
        <f aca="false">IFERROR(G130/F130,"")</f>
        <v>0.796460176991151</v>
      </c>
    </row>
    <row r="131" customFormat="false" ht="15" hidden="false" customHeight="false" outlineLevel="0" collapsed="false">
      <c r="A131" s="31" t="s">
        <v>85</v>
      </c>
      <c r="B131" s="31" t="s">
        <v>333</v>
      </c>
      <c r="C131" s="14" t="n">
        <f aca="false">COUNTIFS('Recruiter Activity'!$B$4:$B$804,A131,'Recruiter Activity'!$C$4:$C$804,B131)</f>
        <v>1</v>
      </c>
      <c r="D131" s="14" t="n">
        <f aca="false">SUMIFS('Recruiter Activity'!$E$4:$E$804,'Recruiter Activity'!$B$4:$B$804,A131,'Recruiter Activity'!$C$4:$C$804,B131)</f>
        <v>8</v>
      </c>
      <c r="E131" s="14" t="n">
        <f aca="false">SUMIFS('Recruiter Activity'!$F$4:$F$804,'Recruiter Activity'!$B$4:$B$804,A131,'Recruiter Activity'!$C$4:$C$804,B131)</f>
        <v>0</v>
      </c>
      <c r="F131" s="14" t="n">
        <f aca="false">SUMIFS('Recruiter Activity'!$G$4:$G$804,'Recruiter Activity'!$B$4:$B$804,A131,'Recruiter Activity'!$C$4:$C$804,B131)</f>
        <v>8</v>
      </c>
      <c r="G131" s="14" t="n">
        <f aca="false">SUMIFS('Recruiter Activity'!$H$4:$H$804,'Recruiter Activity'!$B$4:$B$804,A131,'Recruiter Activity'!$C$4:$C$804,B131)</f>
        <v>8</v>
      </c>
      <c r="H131" s="16" t="n">
        <f aca="false">IFERROR(G131/F131,"")</f>
        <v>1</v>
      </c>
    </row>
    <row r="132" customFormat="false" ht="15" hidden="false" customHeight="false" outlineLevel="0" collapsed="false">
      <c r="A132" s="31" t="s">
        <v>85</v>
      </c>
      <c r="B132" s="31" t="s">
        <v>335</v>
      </c>
      <c r="C132" s="14" t="n">
        <f aca="false">COUNTIFS('Recruiter Activity'!$B$4:$B$804,A132,'Recruiter Activity'!$C$4:$C$804,B132)</f>
        <v>1</v>
      </c>
      <c r="D132" s="14" t="n">
        <f aca="false">SUMIFS('Recruiter Activity'!$E$4:$E$804,'Recruiter Activity'!$B$4:$B$804,A132,'Recruiter Activity'!$C$4:$C$804,B132)</f>
        <v>22</v>
      </c>
      <c r="E132" s="14" t="n">
        <f aca="false">SUMIFS('Recruiter Activity'!$F$4:$F$804,'Recruiter Activity'!$B$4:$B$804,A132,'Recruiter Activity'!$C$4:$C$804,B132)</f>
        <v>0</v>
      </c>
      <c r="F132" s="14" t="n">
        <f aca="false">SUMIFS('Recruiter Activity'!$G$4:$G$804,'Recruiter Activity'!$B$4:$B$804,A132,'Recruiter Activity'!$C$4:$C$804,B132)</f>
        <v>21</v>
      </c>
      <c r="G132" s="14" t="n">
        <f aca="false">SUMIFS('Recruiter Activity'!$H$4:$H$804,'Recruiter Activity'!$B$4:$B$804,A132,'Recruiter Activity'!$C$4:$C$804,B132)</f>
        <v>20</v>
      </c>
      <c r="H132" s="16" t="n">
        <f aca="false">IFERROR(G132/F132,"")</f>
        <v>0.952380952380952</v>
      </c>
    </row>
    <row r="133" customFormat="false" ht="15" hidden="false" customHeight="false" outlineLevel="0" collapsed="false">
      <c r="A133" s="31" t="s">
        <v>85</v>
      </c>
      <c r="B133" s="31" t="s">
        <v>337</v>
      </c>
      <c r="C133" s="14" t="n">
        <f aca="false">COUNTIFS('Recruiter Activity'!$B$4:$B$804,A133,'Recruiter Activity'!$C$4:$C$804,B133)</f>
        <v>1</v>
      </c>
      <c r="D133" s="14" t="n">
        <f aca="false">SUMIFS('Recruiter Activity'!$E$4:$E$804,'Recruiter Activity'!$B$4:$B$804,A133,'Recruiter Activity'!$C$4:$C$804,B133)</f>
        <v>7</v>
      </c>
      <c r="E133" s="14" t="n">
        <f aca="false">SUMIFS('Recruiter Activity'!$F$4:$F$804,'Recruiter Activity'!$B$4:$B$804,A133,'Recruiter Activity'!$C$4:$C$804,B133)</f>
        <v>0</v>
      </c>
      <c r="F133" s="14" t="n">
        <f aca="false">SUMIFS('Recruiter Activity'!$G$4:$G$804,'Recruiter Activity'!$B$4:$B$804,A133,'Recruiter Activity'!$C$4:$C$804,B133)</f>
        <v>7</v>
      </c>
      <c r="G133" s="14" t="n">
        <f aca="false">SUMIFS('Recruiter Activity'!$H$4:$H$804,'Recruiter Activity'!$B$4:$B$804,A133,'Recruiter Activity'!$C$4:$C$804,B133)</f>
        <v>6</v>
      </c>
      <c r="H133" s="16" t="n">
        <f aca="false">IFERROR(G133/F133,"")</f>
        <v>0.857142857142857</v>
      </c>
    </row>
    <row r="134" customFormat="false" ht="15" hidden="false" customHeight="false" outlineLevel="0" collapsed="false">
      <c r="A134" s="31" t="s">
        <v>85</v>
      </c>
      <c r="B134" s="31" t="s">
        <v>339</v>
      </c>
      <c r="C134" s="14" t="n">
        <f aca="false">COUNTIFS('Recruiter Activity'!$B$4:$B$804,A134,'Recruiter Activity'!$C$4:$C$804,B134)</f>
        <v>1</v>
      </c>
      <c r="D134" s="14" t="n">
        <f aca="false">SUMIFS('Recruiter Activity'!$E$4:$E$804,'Recruiter Activity'!$B$4:$B$804,A134,'Recruiter Activity'!$C$4:$C$804,B134)</f>
        <v>14</v>
      </c>
      <c r="E134" s="14" t="n">
        <f aca="false">SUMIFS('Recruiter Activity'!$F$4:$F$804,'Recruiter Activity'!$B$4:$B$804,A134,'Recruiter Activity'!$C$4:$C$804,B134)</f>
        <v>0</v>
      </c>
      <c r="F134" s="14" t="n">
        <f aca="false">SUMIFS('Recruiter Activity'!$G$4:$G$804,'Recruiter Activity'!$B$4:$B$804,A134,'Recruiter Activity'!$C$4:$C$804,B134)</f>
        <v>14</v>
      </c>
      <c r="G134" s="14" t="n">
        <f aca="false">SUMIFS('Recruiter Activity'!$H$4:$H$804,'Recruiter Activity'!$B$4:$B$804,A134,'Recruiter Activity'!$C$4:$C$804,B134)</f>
        <v>11</v>
      </c>
      <c r="H134" s="16" t="n">
        <f aca="false">IFERROR(G134/F134,"")</f>
        <v>0.785714285714286</v>
      </c>
    </row>
    <row r="135" customFormat="false" ht="15" hidden="false" customHeight="false" outlineLevel="0" collapsed="false">
      <c r="A135" s="31" t="s">
        <v>85</v>
      </c>
      <c r="B135" s="31" t="s">
        <v>341</v>
      </c>
      <c r="C135" s="14" t="n">
        <f aca="false">COUNTIFS('Recruiter Activity'!$B$4:$B$804,A135,'Recruiter Activity'!$C$4:$C$804,B135)</f>
        <v>1</v>
      </c>
      <c r="D135" s="14" t="n">
        <f aca="false">SUMIFS('Recruiter Activity'!$E$4:$E$804,'Recruiter Activity'!$B$4:$B$804,A135,'Recruiter Activity'!$C$4:$C$804,B135)</f>
        <v>1</v>
      </c>
      <c r="E135" s="14" t="n">
        <f aca="false">SUMIFS('Recruiter Activity'!$F$4:$F$804,'Recruiter Activity'!$B$4:$B$804,A135,'Recruiter Activity'!$C$4:$C$804,B135)</f>
        <v>0</v>
      </c>
      <c r="F135" s="14" t="n">
        <f aca="false">SUMIFS('Recruiter Activity'!$G$4:$G$804,'Recruiter Activity'!$B$4:$B$804,A135,'Recruiter Activity'!$C$4:$C$804,B135)</f>
        <v>1</v>
      </c>
      <c r="G135" s="14" t="n">
        <f aca="false">SUMIFS('Recruiter Activity'!$H$4:$H$804,'Recruiter Activity'!$B$4:$B$804,A135,'Recruiter Activity'!$C$4:$C$804,B135)</f>
        <v>1</v>
      </c>
      <c r="H135" s="16" t="n">
        <f aca="false">IFERROR(G135/F135,"")</f>
        <v>1</v>
      </c>
    </row>
    <row r="136" customFormat="false" ht="15" hidden="false" customHeight="false" outlineLevel="0" collapsed="false">
      <c r="A136" s="31" t="s">
        <v>85</v>
      </c>
      <c r="B136" s="31" t="s">
        <v>343</v>
      </c>
      <c r="C136" s="14" t="n">
        <f aca="false">COUNTIFS('Recruiter Activity'!$B$4:$B$804,A136,'Recruiter Activity'!$C$4:$C$804,B136)</f>
        <v>1</v>
      </c>
      <c r="D136" s="14" t="n">
        <f aca="false">SUMIFS('Recruiter Activity'!$E$4:$E$804,'Recruiter Activity'!$B$4:$B$804,A136,'Recruiter Activity'!$C$4:$C$804,B136)</f>
        <v>469</v>
      </c>
      <c r="E136" s="14" t="n">
        <f aca="false">SUMIFS('Recruiter Activity'!$F$4:$F$804,'Recruiter Activity'!$B$4:$B$804,A136,'Recruiter Activity'!$C$4:$C$804,B136)</f>
        <v>0</v>
      </c>
      <c r="F136" s="14" t="n">
        <f aca="false">SUMIFS('Recruiter Activity'!$G$4:$G$804,'Recruiter Activity'!$B$4:$B$804,A136,'Recruiter Activity'!$C$4:$C$804,B136)</f>
        <v>411</v>
      </c>
      <c r="G136" s="14" t="n">
        <f aca="false">SUMIFS('Recruiter Activity'!$H$4:$H$804,'Recruiter Activity'!$B$4:$B$804,A136,'Recruiter Activity'!$C$4:$C$804,B136)</f>
        <v>285</v>
      </c>
      <c r="H136" s="16" t="n">
        <f aca="false">IFERROR(G136/F136,"")</f>
        <v>0.693430656934307</v>
      </c>
    </row>
    <row r="137" customFormat="false" ht="15" hidden="false" customHeight="false" outlineLevel="0" collapsed="false">
      <c r="A137" s="31" t="s">
        <v>85</v>
      </c>
      <c r="B137" s="31" t="s">
        <v>345</v>
      </c>
      <c r="C137" s="14" t="n">
        <f aca="false">COUNTIFS('Recruiter Activity'!$B$4:$B$804,A137,'Recruiter Activity'!$C$4:$C$804,B137)</f>
        <v>1</v>
      </c>
      <c r="D137" s="14" t="n">
        <f aca="false">SUMIFS('Recruiter Activity'!$E$4:$E$804,'Recruiter Activity'!$B$4:$B$804,A137,'Recruiter Activity'!$C$4:$C$804,B137)</f>
        <v>2</v>
      </c>
      <c r="E137" s="14" t="n">
        <f aca="false">SUMIFS('Recruiter Activity'!$F$4:$F$804,'Recruiter Activity'!$B$4:$B$804,A137,'Recruiter Activity'!$C$4:$C$804,B137)</f>
        <v>0</v>
      </c>
      <c r="F137" s="14" t="n">
        <f aca="false">SUMIFS('Recruiter Activity'!$G$4:$G$804,'Recruiter Activity'!$B$4:$B$804,A137,'Recruiter Activity'!$C$4:$C$804,B137)</f>
        <v>2</v>
      </c>
      <c r="G137" s="14" t="n">
        <f aca="false">SUMIFS('Recruiter Activity'!$H$4:$H$804,'Recruiter Activity'!$B$4:$B$804,A137,'Recruiter Activity'!$C$4:$C$804,B137)</f>
        <v>1</v>
      </c>
      <c r="H137" s="16" t="n">
        <f aca="false">IFERROR(G137/F137,"")</f>
        <v>0.5</v>
      </c>
    </row>
    <row r="138" customFormat="false" ht="15" hidden="false" customHeight="false" outlineLevel="0" collapsed="false">
      <c r="A138" s="31" t="s">
        <v>85</v>
      </c>
      <c r="B138" s="31" t="s">
        <v>347</v>
      </c>
      <c r="C138" s="14" t="n">
        <f aca="false">COUNTIFS('Recruiter Activity'!$B$4:$B$804,A138,'Recruiter Activity'!$C$4:$C$804,B138)</f>
        <v>1</v>
      </c>
      <c r="D138" s="14" t="n">
        <f aca="false">SUMIFS('Recruiter Activity'!$E$4:$E$804,'Recruiter Activity'!$B$4:$B$804,A138,'Recruiter Activity'!$C$4:$C$804,B138)</f>
        <v>1</v>
      </c>
      <c r="E138" s="14" t="n">
        <f aca="false">SUMIFS('Recruiter Activity'!$F$4:$F$804,'Recruiter Activity'!$B$4:$B$804,A138,'Recruiter Activity'!$C$4:$C$804,B138)</f>
        <v>0</v>
      </c>
      <c r="F138" s="14" t="n">
        <f aca="false">SUMIFS('Recruiter Activity'!$G$4:$G$804,'Recruiter Activity'!$B$4:$B$804,A138,'Recruiter Activity'!$C$4:$C$804,B138)</f>
        <v>1</v>
      </c>
      <c r="G138" s="14" t="n">
        <f aca="false">SUMIFS('Recruiter Activity'!$H$4:$H$804,'Recruiter Activity'!$B$4:$B$804,A138,'Recruiter Activity'!$C$4:$C$804,B138)</f>
        <v>1</v>
      </c>
      <c r="H138" s="16" t="n">
        <f aca="false">IFERROR(G138/F138,"")</f>
        <v>1</v>
      </c>
    </row>
    <row r="139" customFormat="false" ht="15" hidden="false" customHeight="false" outlineLevel="0" collapsed="false">
      <c r="A139" s="31" t="s">
        <v>85</v>
      </c>
      <c r="B139" s="31" t="s">
        <v>349</v>
      </c>
      <c r="C139" s="14" t="n">
        <f aca="false">COUNTIFS('Recruiter Activity'!$B$4:$B$804,A139,'Recruiter Activity'!$C$4:$C$804,B139)</f>
        <v>1</v>
      </c>
      <c r="D139" s="14" t="n">
        <f aca="false">SUMIFS('Recruiter Activity'!$E$4:$E$804,'Recruiter Activity'!$B$4:$B$804,A139,'Recruiter Activity'!$C$4:$C$804,B139)</f>
        <v>1</v>
      </c>
      <c r="E139" s="14" t="n">
        <f aca="false">SUMIFS('Recruiter Activity'!$F$4:$F$804,'Recruiter Activity'!$B$4:$B$804,A139,'Recruiter Activity'!$C$4:$C$804,B139)</f>
        <v>0</v>
      </c>
      <c r="F139" s="14" t="n">
        <f aca="false">SUMIFS('Recruiter Activity'!$G$4:$G$804,'Recruiter Activity'!$B$4:$B$804,A139,'Recruiter Activity'!$C$4:$C$804,B139)</f>
        <v>1</v>
      </c>
      <c r="G139" s="14" t="n">
        <f aca="false">SUMIFS('Recruiter Activity'!$H$4:$H$804,'Recruiter Activity'!$B$4:$B$804,A139,'Recruiter Activity'!$C$4:$C$804,B139)</f>
        <v>0</v>
      </c>
      <c r="H139" s="16" t="n">
        <f aca="false">IFERROR(G139/F139,"")</f>
        <v>0</v>
      </c>
    </row>
    <row r="140" customFormat="false" ht="15" hidden="false" customHeight="false" outlineLevel="0" collapsed="false">
      <c r="A140" s="31" t="s">
        <v>85</v>
      </c>
      <c r="B140" s="31" t="s">
        <v>351</v>
      </c>
      <c r="C140" s="14" t="n">
        <f aca="false">COUNTIFS('Recruiter Activity'!$B$4:$B$804,A140,'Recruiter Activity'!$C$4:$C$804,B140)</f>
        <v>1</v>
      </c>
      <c r="D140" s="14" t="n">
        <f aca="false">SUMIFS('Recruiter Activity'!$E$4:$E$804,'Recruiter Activity'!$B$4:$B$804,A140,'Recruiter Activity'!$C$4:$C$804,B140)</f>
        <v>9</v>
      </c>
      <c r="E140" s="14" t="n">
        <f aca="false">SUMIFS('Recruiter Activity'!$F$4:$F$804,'Recruiter Activity'!$B$4:$B$804,A140,'Recruiter Activity'!$C$4:$C$804,B140)</f>
        <v>0</v>
      </c>
      <c r="F140" s="14" t="n">
        <f aca="false">SUMIFS('Recruiter Activity'!$G$4:$G$804,'Recruiter Activity'!$B$4:$B$804,A140,'Recruiter Activity'!$C$4:$C$804,B140)</f>
        <v>9</v>
      </c>
      <c r="G140" s="14" t="n">
        <f aca="false">SUMIFS('Recruiter Activity'!$H$4:$H$804,'Recruiter Activity'!$B$4:$B$804,A140,'Recruiter Activity'!$C$4:$C$804,B140)</f>
        <v>8</v>
      </c>
      <c r="H140" s="16" t="n">
        <f aca="false">IFERROR(G140/F140,"")</f>
        <v>0.888888888888889</v>
      </c>
    </row>
    <row r="141" customFormat="false" ht="15" hidden="false" customHeight="false" outlineLevel="0" collapsed="false">
      <c r="A141" s="31" t="s">
        <v>85</v>
      </c>
      <c r="B141" s="31" t="s">
        <v>353</v>
      </c>
      <c r="C141" s="14" t="n">
        <f aca="false">COUNTIFS('Recruiter Activity'!$B$4:$B$804,A141,'Recruiter Activity'!$C$4:$C$804,B141)</f>
        <v>1</v>
      </c>
      <c r="D141" s="14" t="n">
        <f aca="false">SUMIFS('Recruiter Activity'!$E$4:$E$804,'Recruiter Activity'!$B$4:$B$804,A141,'Recruiter Activity'!$C$4:$C$804,B141)</f>
        <v>10</v>
      </c>
      <c r="E141" s="14" t="n">
        <f aca="false">SUMIFS('Recruiter Activity'!$F$4:$F$804,'Recruiter Activity'!$B$4:$B$804,A141,'Recruiter Activity'!$C$4:$C$804,B141)</f>
        <v>0</v>
      </c>
      <c r="F141" s="14" t="n">
        <f aca="false">SUMIFS('Recruiter Activity'!$G$4:$G$804,'Recruiter Activity'!$B$4:$B$804,A141,'Recruiter Activity'!$C$4:$C$804,B141)</f>
        <v>10</v>
      </c>
      <c r="G141" s="14" t="n">
        <f aca="false">SUMIFS('Recruiter Activity'!$H$4:$H$804,'Recruiter Activity'!$B$4:$B$804,A141,'Recruiter Activity'!$C$4:$C$804,B141)</f>
        <v>6</v>
      </c>
      <c r="H141" s="16" t="n">
        <f aca="false">IFERROR(G141/F141,"")</f>
        <v>0.6</v>
      </c>
    </row>
    <row r="142" customFormat="false" ht="15" hidden="false" customHeight="false" outlineLevel="0" collapsed="false">
      <c r="A142" s="31" t="s">
        <v>85</v>
      </c>
      <c r="B142" s="31" t="s">
        <v>355</v>
      </c>
      <c r="C142" s="14" t="n">
        <f aca="false">COUNTIFS('Recruiter Activity'!$B$4:$B$804,A142,'Recruiter Activity'!$C$4:$C$804,B142)</f>
        <v>1</v>
      </c>
      <c r="D142" s="14" t="n">
        <f aca="false">SUMIFS('Recruiter Activity'!$E$4:$E$804,'Recruiter Activity'!$B$4:$B$804,A142,'Recruiter Activity'!$C$4:$C$804,B142)</f>
        <v>7</v>
      </c>
      <c r="E142" s="14" t="n">
        <f aca="false">SUMIFS('Recruiter Activity'!$F$4:$F$804,'Recruiter Activity'!$B$4:$B$804,A142,'Recruiter Activity'!$C$4:$C$804,B142)</f>
        <v>0</v>
      </c>
      <c r="F142" s="14" t="n">
        <f aca="false">SUMIFS('Recruiter Activity'!$G$4:$G$804,'Recruiter Activity'!$B$4:$B$804,A142,'Recruiter Activity'!$C$4:$C$804,B142)</f>
        <v>6</v>
      </c>
      <c r="G142" s="14" t="n">
        <f aca="false">SUMIFS('Recruiter Activity'!$H$4:$H$804,'Recruiter Activity'!$B$4:$B$804,A142,'Recruiter Activity'!$C$4:$C$804,B142)</f>
        <v>2</v>
      </c>
      <c r="H142" s="16" t="n">
        <f aca="false">IFERROR(G142/F142,"")</f>
        <v>0.333333333333333</v>
      </c>
    </row>
    <row r="143" customFormat="false" ht="15" hidden="false" customHeight="false" outlineLevel="0" collapsed="false">
      <c r="A143" s="31" t="s">
        <v>85</v>
      </c>
      <c r="B143" s="31" t="s">
        <v>357</v>
      </c>
      <c r="C143" s="14" t="n">
        <f aca="false">COUNTIFS('Recruiter Activity'!$B$4:$B$804,A143,'Recruiter Activity'!$C$4:$C$804,B143)</f>
        <v>1</v>
      </c>
      <c r="D143" s="14" t="n">
        <f aca="false">SUMIFS('Recruiter Activity'!$E$4:$E$804,'Recruiter Activity'!$B$4:$B$804,A143,'Recruiter Activity'!$C$4:$C$804,B143)</f>
        <v>1</v>
      </c>
      <c r="E143" s="14" t="n">
        <f aca="false">SUMIFS('Recruiter Activity'!$F$4:$F$804,'Recruiter Activity'!$B$4:$B$804,A143,'Recruiter Activity'!$C$4:$C$804,B143)</f>
        <v>0</v>
      </c>
      <c r="F143" s="14" t="n">
        <f aca="false">SUMIFS('Recruiter Activity'!$G$4:$G$804,'Recruiter Activity'!$B$4:$B$804,A143,'Recruiter Activity'!$C$4:$C$804,B143)</f>
        <v>1</v>
      </c>
      <c r="G143" s="14" t="n">
        <f aca="false">SUMIFS('Recruiter Activity'!$H$4:$H$804,'Recruiter Activity'!$B$4:$B$804,A143,'Recruiter Activity'!$C$4:$C$804,B143)</f>
        <v>1</v>
      </c>
      <c r="H143" s="16" t="n">
        <f aca="false">IFERROR(G143/F143,"")</f>
        <v>1</v>
      </c>
    </row>
    <row r="144" customFormat="false" ht="15" hidden="false" customHeight="false" outlineLevel="0" collapsed="false">
      <c r="A144" s="31" t="s">
        <v>85</v>
      </c>
      <c r="B144" s="31" t="s">
        <v>359</v>
      </c>
      <c r="C144" s="14" t="n">
        <f aca="false">COUNTIFS('Recruiter Activity'!$B$4:$B$804,A144,'Recruiter Activity'!$C$4:$C$804,B144)</f>
        <v>1</v>
      </c>
      <c r="D144" s="14" t="n">
        <f aca="false">SUMIFS('Recruiter Activity'!$E$4:$E$804,'Recruiter Activity'!$B$4:$B$804,A144,'Recruiter Activity'!$C$4:$C$804,B144)</f>
        <v>7</v>
      </c>
      <c r="E144" s="14" t="n">
        <f aca="false">SUMIFS('Recruiter Activity'!$F$4:$F$804,'Recruiter Activity'!$B$4:$B$804,A144,'Recruiter Activity'!$C$4:$C$804,B144)</f>
        <v>0</v>
      </c>
      <c r="F144" s="14" t="n">
        <f aca="false">SUMIFS('Recruiter Activity'!$G$4:$G$804,'Recruiter Activity'!$B$4:$B$804,A144,'Recruiter Activity'!$C$4:$C$804,B144)</f>
        <v>6</v>
      </c>
      <c r="G144" s="14" t="n">
        <f aca="false">SUMIFS('Recruiter Activity'!$H$4:$H$804,'Recruiter Activity'!$B$4:$B$804,A144,'Recruiter Activity'!$C$4:$C$804,B144)</f>
        <v>3</v>
      </c>
      <c r="H144" s="16" t="n">
        <f aca="false">IFERROR(G144/F144,"")</f>
        <v>0.5</v>
      </c>
    </row>
    <row r="145" customFormat="false" ht="15" hidden="false" customHeight="false" outlineLevel="0" collapsed="false">
      <c r="A145" s="31" t="s">
        <v>85</v>
      </c>
      <c r="B145" s="31" t="s">
        <v>361</v>
      </c>
      <c r="C145" s="14" t="n">
        <f aca="false">COUNTIFS('Recruiter Activity'!$B$4:$B$804,A145,'Recruiter Activity'!$C$4:$C$804,B145)</f>
        <v>1</v>
      </c>
      <c r="D145" s="14" t="n">
        <f aca="false">SUMIFS('Recruiter Activity'!$E$4:$E$804,'Recruiter Activity'!$B$4:$B$804,A145,'Recruiter Activity'!$C$4:$C$804,B145)</f>
        <v>59</v>
      </c>
      <c r="E145" s="14" t="n">
        <f aca="false">SUMIFS('Recruiter Activity'!$F$4:$F$804,'Recruiter Activity'!$B$4:$B$804,A145,'Recruiter Activity'!$C$4:$C$804,B145)</f>
        <v>0</v>
      </c>
      <c r="F145" s="14" t="n">
        <f aca="false">SUMIFS('Recruiter Activity'!$G$4:$G$804,'Recruiter Activity'!$B$4:$B$804,A145,'Recruiter Activity'!$C$4:$C$804,B145)</f>
        <v>54</v>
      </c>
      <c r="G145" s="14" t="n">
        <f aca="false">SUMIFS('Recruiter Activity'!$H$4:$H$804,'Recruiter Activity'!$B$4:$B$804,A145,'Recruiter Activity'!$C$4:$C$804,B145)</f>
        <v>43</v>
      </c>
      <c r="H145" s="16" t="n">
        <f aca="false">IFERROR(G145/F145,"")</f>
        <v>0.796296296296296</v>
      </c>
    </row>
    <row r="146" customFormat="false" ht="15" hidden="false" customHeight="false" outlineLevel="0" collapsed="false">
      <c r="A146" s="31" t="s">
        <v>48</v>
      </c>
      <c r="B146" s="31" t="s">
        <v>363</v>
      </c>
      <c r="C146" s="14" t="n">
        <f aca="false">COUNTIFS('Recruiter Activity'!$B$4:$B$804,A146,'Recruiter Activity'!$C$4:$C$804,B146)</f>
        <v>1</v>
      </c>
      <c r="D146" s="14" t="n">
        <f aca="false">SUMIFS('Recruiter Activity'!$E$4:$E$804,'Recruiter Activity'!$B$4:$B$804,A146,'Recruiter Activity'!$C$4:$C$804,B146)</f>
        <v>0</v>
      </c>
      <c r="E146" s="14" t="n">
        <f aca="false">SUMIFS('Recruiter Activity'!$F$4:$F$804,'Recruiter Activity'!$B$4:$B$804,A146,'Recruiter Activity'!$C$4:$C$804,B146)</f>
        <v>0</v>
      </c>
      <c r="F146" s="14" t="n">
        <f aca="false">SUMIFS('Recruiter Activity'!$G$4:$G$804,'Recruiter Activity'!$B$4:$B$804,A146,'Recruiter Activity'!$C$4:$C$804,B146)</f>
        <v>4</v>
      </c>
      <c r="G146" s="14" t="n">
        <f aca="false">SUMIFS('Recruiter Activity'!$H$4:$H$804,'Recruiter Activity'!$B$4:$B$804,A146,'Recruiter Activity'!$C$4:$C$804,B146)</f>
        <v>0</v>
      </c>
      <c r="H146" s="16" t="n">
        <f aca="false">IFERROR(G146/F146,"")</f>
        <v>0</v>
      </c>
    </row>
    <row r="147" customFormat="false" ht="15" hidden="false" customHeight="false" outlineLevel="0" collapsed="false">
      <c r="A147" s="31" t="s">
        <v>48</v>
      </c>
      <c r="B147" s="31" t="s">
        <v>365</v>
      </c>
      <c r="C147" s="14" t="n">
        <f aca="false">COUNTIFS('Recruiter Activity'!$B$4:$B$804,A147,'Recruiter Activity'!$C$4:$C$804,B147)</f>
        <v>1</v>
      </c>
      <c r="D147" s="14" t="n">
        <f aca="false">SUMIFS('Recruiter Activity'!$E$4:$E$804,'Recruiter Activity'!$B$4:$B$804,A147,'Recruiter Activity'!$C$4:$C$804,B147)</f>
        <v>0</v>
      </c>
      <c r="E147" s="14" t="n">
        <f aca="false">SUMIFS('Recruiter Activity'!$F$4:$F$804,'Recruiter Activity'!$B$4:$B$804,A147,'Recruiter Activity'!$C$4:$C$804,B147)</f>
        <v>0</v>
      </c>
      <c r="F147" s="14" t="n">
        <f aca="false">SUMIFS('Recruiter Activity'!$G$4:$G$804,'Recruiter Activity'!$B$4:$B$804,A147,'Recruiter Activity'!$C$4:$C$804,B147)</f>
        <v>6</v>
      </c>
      <c r="G147" s="14" t="n">
        <f aca="false">SUMIFS('Recruiter Activity'!$H$4:$H$804,'Recruiter Activity'!$B$4:$B$804,A147,'Recruiter Activity'!$C$4:$C$804,B147)</f>
        <v>0</v>
      </c>
      <c r="H147" s="16" t="n">
        <f aca="false">IFERROR(G147/F147,"")</f>
        <v>0</v>
      </c>
    </row>
    <row r="148" customFormat="false" ht="15" hidden="false" customHeight="false" outlineLevel="0" collapsed="false">
      <c r="A148" s="31" t="s">
        <v>48</v>
      </c>
      <c r="B148" s="31" t="s">
        <v>367</v>
      </c>
      <c r="C148" s="14" t="n">
        <f aca="false">COUNTIFS('Recruiter Activity'!$B$4:$B$804,A148,'Recruiter Activity'!$C$4:$C$804,B148)</f>
        <v>1</v>
      </c>
      <c r="D148" s="14" t="n">
        <f aca="false">SUMIFS('Recruiter Activity'!$E$4:$E$804,'Recruiter Activity'!$B$4:$B$804,A148,'Recruiter Activity'!$C$4:$C$804,B148)</f>
        <v>0</v>
      </c>
      <c r="E148" s="14" t="n">
        <f aca="false">SUMIFS('Recruiter Activity'!$F$4:$F$804,'Recruiter Activity'!$B$4:$B$804,A148,'Recruiter Activity'!$C$4:$C$804,B148)</f>
        <v>0</v>
      </c>
      <c r="F148" s="14" t="n">
        <f aca="false">SUMIFS('Recruiter Activity'!$G$4:$G$804,'Recruiter Activity'!$B$4:$B$804,A148,'Recruiter Activity'!$C$4:$C$804,B148)</f>
        <v>50</v>
      </c>
      <c r="G148" s="14" t="n">
        <f aca="false">SUMIFS('Recruiter Activity'!$H$4:$H$804,'Recruiter Activity'!$B$4:$B$804,A148,'Recruiter Activity'!$C$4:$C$804,B148)</f>
        <v>0</v>
      </c>
      <c r="H148" s="16" t="n">
        <f aca="false">IFERROR(G148/F148,"")</f>
        <v>0</v>
      </c>
    </row>
    <row r="149" customFormat="false" ht="15" hidden="false" customHeight="false" outlineLevel="0" collapsed="false">
      <c r="A149" s="31" t="s">
        <v>48</v>
      </c>
      <c r="B149" s="31" t="s">
        <v>369</v>
      </c>
      <c r="C149" s="14" t="n">
        <f aca="false">COUNTIFS('Recruiter Activity'!$B$4:$B$804,A149,'Recruiter Activity'!$C$4:$C$804,B149)</f>
        <v>1</v>
      </c>
      <c r="D149" s="14" t="n">
        <f aca="false">SUMIFS('Recruiter Activity'!$E$4:$E$804,'Recruiter Activity'!$B$4:$B$804,A149,'Recruiter Activity'!$C$4:$C$804,B149)</f>
        <v>0</v>
      </c>
      <c r="E149" s="14" t="n">
        <f aca="false">SUMIFS('Recruiter Activity'!$F$4:$F$804,'Recruiter Activity'!$B$4:$B$804,A149,'Recruiter Activity'!$C$4:$C$804,B149)</f>
        <v>0</v>
      </c>
      <c r="F149" s="14" t="n">
        <f aca="false">SUMIFS('Recruiter Activity'!$G$4:$G$804,'Recruiter Activity'!$B$4:$B$804,A149,'Recruiter Activity'!$C$4:$C$804,B149)</f>
        <v>10</v>
      </c>
      <c r="G149" s="14" t="n">
        <f aca="false">SUMIFS('Recruiter Activity'!$H$4:$H$804,'Recruiter Activity'!$B$4:$B$804,A149,'Recruiter Activity'!$C$4:$C$804,B149)</f>
        <v>0</v>
      </c>
      <c r="H149" s="16" t="n">
        <f aca="false">IFERROR(G149/F149,"")</f>
        <v>0</v>
      </c>
    </row>
    <row r="150" customFormat="false" ht="15" hidden="false" customHeight="false" outlineLevel="0" collapsed="false">
      <c r="A150" s="31" t="s">
        <v>48</v>
      </c>
      <c r="B150" s="31" t="s">
        <v>371</v>
      </c>
      <c r="C150" s="14" t="n">
        <f aca="false">COUNTIFS('Recruiter Activity'!$B$4:$B$804,A150,'Recruiter Activity'!$C$4:$C$804,B150)</f>
        <v>1</v>
      </c>
      <c r="D150" s="14" t="n">
        <f aca="false">SUMIFS('Recruiter Activity'!$E$4:$E$804,'Recruiter Activity'!$B$4:$B$804,A150,'Recruiter Activity'!$C$4:$C$804,B150)</f>
        <v>0</v>
      </c>
      <c r="E150" s="14" t="n">
        <f aca="false">SUMIFS('Recruiter Activity'!$F$4:$F$804,'Recruiter Activity'!$B$4:$B$804,A150,'Recruiter Activity'!$C$4:$C$804,B150)</f>
        <v>0</v>
      </c>
      <c r="F150" s="14" t="n">
        <f aca="false">SUMIFS('Recruiter Activity'!$G$4:$G$804,'Recruiter Activity'!$B$4:$B$804,A150,'Recruiter Activity'!$C$4:$C$804,B150)</f>
        <v>3</v>
      </c>
      <c r="G150" s="14" t="n">
        <f aca="false">SUMIFS('Recruiter Activity'!$H$4:$H$804,'Recruiter Activity'!$B$4:$B$804,A150,'Recruiter Activity'!$C$4:$C$804,B150)</f>
        <v>0</v>
      </c>
      <c r="H150" s="16" t="n">
        <f aca="false">IFERROR(G150/F150,"")</f>
        <v>0</v>
      </c>
    </row>
    <row r="151" customFormat="false" ht="15" hidden="false" customHeight="false" outlineLevel="0" collapsed="false">
      <c r="A151" s="31" t="s">
        <v>48</v>
      </c>
      <c r="B151" s="31" t="s">
        <v>373</v>
      </c>
      <c r="C151" s="14" t="n">
        <f aca="false">COUNTIFS('Recruiter Activity'!$B$4:$B$804,A151,'Recruiter Activity'!$C$4:$C$804,B151)</f>
        <v>1</v>
      </c>
      <c r="D151" s="14" t="n">
        <f aca="false">SUMIFS('Recruiter Activity'!$E$4:$E$804,'Recruiter Activity'!$B$4:$B$804,A151,'Recruiter Activity'!$C$4:$C$804,B151)</f>
        <v>0</v>
      </c>
      <c r="E151" s="14" t="n">
        <f aca="false">SUMIFS('Recruiter Activity'!$F$4:$F$804,'Recruiter Activity'!$B$4:$B$804,A151,'Recruiter Activity'!$C$4:$C$804,B151)</f>
        <v>0</v>
      </c>
      <c r="F151" s="14" t="n">
        <f aca="false">SUMIFS('Recruiter Activity'!$G$4:$G$804,'Recruiter Activity'!$B$4:$B$804,A151,'Recruiter Activity'!$C$4:$C$804,B151)</f>
        <v>0</v>
      </c>
      <c r="G151" s="14" t="n">
        <f aca="false">SUMIFS('Recruiter Activity'!$H$4:$H$804,'Recruiter Activity'!$B$4:$B$804,A151,'Recruiter Activity'!$C$4:$C$804,B151)</f>
        <v>0</v>
      </c>
      <c r="H151" s="16" t="str">
        <f aca="false">IFERROR(G151/F151,"")</f>
        <v/>
      </c>
    </row>
    <row r="152" customFormat="false" ht="15" hidden="false" customHeight="false" outlineLevel="0" collapsed="false">
      <c r="A152" s="31" t="s">
        <v>48</v>
      </c>
      <c r="B152" s="31" t="s">
        <v>374</v>
      </c>
      <c r="C152" s="14" t="n">
        <f aca="false">COUNTIFS('Recruiter Activity'!$B$4:$B$804,A152,'Recruiter Activity'!$C$4:$C$804,B152)</f>
        <v>1</v>
      </c>
      <c r="D152" s="14" t="n">
        <f aca="false">SUMIFS('Recruiter Activity'!$E$4:$E$804,'Recruiter Activity'!$B$4:$B$804,A152,'Recruiter Activity'!$C$4:$C$804,B152)</f>
        <v>0</v>
      </c>
      <c r="E152" s="14" t="n">
        <f aca="false">SUMIFS('Recruiter Activity'!$F$4:$F$804,'Recruiter Activity'!$B$4:$B$804,A152,'Recruiter Activity'!$C$4:$C$804,B152)</f>
        <v>0</v>
      </c>
      <c r="F152" s="14" t="n">
        <f aca="false">SUMIFS('Recruiter Activity'!$G$4:$G$804,'Recruiter Activity'!$B$4:$B$804,A152,'Recruiter Activity'!$C$4:$C$804,B152)</f>
        <v>25</v>
      </c>
      <c r="G152" s="14" t="n">
        <f aca="false">SUMIFS('Recruiter Activity'!$H$4:$H$804,'Recruiter Activity'!$B$4:$B$804,A152,'Recruiter Activity'!$C$4:$C$804,B152)</f>
        <v>0</v>
      </c>
      <c r="H152" s="16" t="n">
        <f aca="false">IFERROR(G152/F152,"")</f>
        <v>0</v>
      </c>
    </row>
    <row r="153" customFormat="false" ht="15" hidden="false" customHeight="false" outlineLevel="0" collapsed="false">
      <c r="A153" s="31" t="s">
        <v>48</v>
      </c>
      <c r="B153" s="31" t="s">
        <v>376</v>
      </c>
      <c r="C153" s="14" t="n">
        <f aca="false">COUNTIFS('Recruiter Activity'!$B$4:$B$804,A153,'Recruiter Activity'!$C$4:$C$804,B153)</f>
        <v>1</v>
      </c>
      <c r="D153" s="14" t="n">
        <f aca="false">SUMIFS('Recruiter Activity'!$E$4:$E$804,'Recruiter Activity'!$B$4:$B$804,A153,'Recruiter Activity'!$C$4:$C$804,B153)</f>
        <v>0</v>
      </c>
      <c r="E153" s="14" t="n">
        <f aca="false">SUMIFS('Recruiter Activity'!$F$4:$F$804,'Recruiter Activity'!$B$4:$B$804,A153,'Recruiter Activity'!$C$4:$C$804,B153)</f>
        <v>0</v>
      </c>
      <c r="F153" s="14" t="n">
        <f aca="false">SUMIFS('Recruiter Activity'!$G$4:$G$804,'Recruiter Activity'!$B$4:$B$804,A153,'Recruiter Activity'!$C$4:$C$804,B153)</f>
        <v>20</v>
      </c>
      <c r="G153" s="14" t="n">
        <f aca="false">SUMIFS('Recruiter Activity'!$H$4:$H$804,'Recruiter Activity'!$B$4:$B$804,A153,'Recruiter Activity'!$C$4:$C$804,B153)</f>
        <v>0</v>
      </c>
      <c r="H153" s="16" t="n">
        <f aca="false">IFERROR(G153/F153,"")</f>
        <v>0</v>
      </c>
    </row>
    <row r="154" customFormat="false" ht="15" hidden="false" customHeight="false" outlineLevel="0" collapsed="false">
      <c r="A154" s="31" t="s">
        <v>48</v>
      </c>
      <c r="B154" s="31" t="s">
        <v>377</v>
      </c>
      <c r="C154" s="14" t="n">
        <f aca="false">COUNTIFS('Recruiter Activity'!$B$4:$B$804,A154,'Recruiter Activity'!$C$4:$C$804,B154)</f>
        <v>1</v>
      </c>
      <c r="D154" s="14" t="n">
        <f aca="false">SUMIFS('Recruiter Activity'!$E$4:$E$804,'Recruiter Activity'!$B$4:$B$804,A154,'Recruiter Activity'!$C$4:$C$804,B154)</f>
        <v>0</v>
      </c>
      <c r="E154" s="14" t="n">
        <f aca="false">SUMIFS('Recruiter Activity'!$F$4:$F$804,'Recruiter Activity'!$B$4:$B$804,A154,'Recruiter Activity'!$C$4:$C$804,B154)</f>
        <v>0</v>
      </c>
      <c r="F154" s="14" t="n">
        <f aca="false">SUMIFS('Recruiter Activity'!$G$4:$G$804,'Recruiter Activity'!$B$4:$B$804,A154,'Recruiter Activity'!$C$4:$C$804,B154)</f>
        <v>15</v>
      </c>
      <c r="G154" s="14" t="n">
        <f aca="false">SUMIFS('Recruiter Activity'!$H$4:$H$804,'Recruiter Activity'!$B$4:$B$804,A154,'Recruiter Activity'!$C$4:$C$804,B154)</f>
        <v>0</v>
      </c>
      <c r="H154" s="16" t="n">
        <f aca="false">IFERROR(G154/F154,"")</f>
        <v>0</v>
      </c>
    </row>
    <row r="155" customFormat="false" ht="15" hidden="false" customHeight="false" outlineLevel="0" collapsed="false">
      <c r="A155" s="31" t="s">
        <v>48</v>
      </c>
      <c r="B155" s="31" t="s">
        <v>379</v>
      </c>
      <c r="C155" s="14" t="n">
        <f aca="false">COUNTIFS('Recruiter Activity'!$B$4:$B$804,A155,'Recruiter Activity'!$C$4:$C$804,B155)</f>
        <v>1</v>
      </c>
      <c r="D155" s="14" t="n">
        <f aca="false">SUMIFS('Recruiter Activity'!$E$4:$E$804,'Recruiter Activity'!$B$4:$B$804,A155,'Recruiter Activity'!$C$4:$C$804,B155)</f>
        <v>0</v>
      </c>
      <c r="E155" s="14" t="n">
        <f aca="false">SUMIFS('Recruiter Activity'!$F$4:$F$804,'Recruiter Activity'!$B$4:$B$804,A155,'Recruiter Activity'!$C$4:$C$804,B155)</f>
        <v>0</v>
      </c>
      <c r="F155" s="14" t="n">
        <f aca="false">SUMIFS('Recruiter Activity'!$G$4:$G$804,'Recruiter Activity'!$B$4:$B$804,A155,'Recruiter Activity'!$C$4:$C$804,B155)</f>
        <v>0</v>
      </c>
      <c r="G155" s="14" t="n">
        <f aca="false">SUMIFS('Recruiter Activity'!$H$4:$H$804,'Recruiter Activity'!$B$4:$B$804,A155,'Recruiter Activity'!$C$4:$C$804,B155)</f>
        <v>0</v>
      </c>
      <c r="H155" s="16" t="str">
        <f aca="false">IFERROR(G155/F155,"")</f>
        <v/>
      </c>
    </row>
    <row r="156" customFormat="false" ht="15" hidden="false" customHeight="false" outlineLevel="0" collapsed="false">
      <c r="A156" s="31" t="s">
        <v>48</v>
      </c>
      <c r="B156" s="31" t="s">
        <v>296</v>
      </c>
      <c r="C156" s="14" t="n">
        <f aca="false">COUNTIFS('Recruiter Activity'!$B$4:$B$804,A156,'Recruiter Activity'!$C$4:$C$804,B156)</f>
        <v>1</v>
      </c>
      <c r="D156" s="14" t="n">
        <f aca="false">SUMIFS('Recruiter Activity'!$E$4:$E$804,'Recruiter Activity'!$B$4:$B$804,A156,'Recruiter Activity'!$C$4:$C$804,B156)</f>
        <v>0</v>
      </c>
      <c r="E156" s="14" t="n">
        <f aca="false">SUMIFS('Recruiter Activity'!$F$4:$F$804,'Recruiter Activity'!$B$4:$B$804,A156,'Recruiter Activity'!$C$4:$C$804,B156)</f>
        <v>0</v>
      </c>
      <c r="F156" s="14" t="n">
        <f aca="false">SUMIFS('Recruiter Activity'!$G$4:$G$804,'Recruiter Activity'!$B$4:$B$804,A156,'Recruiter Activity'!$C$4:$C$804,B156)</f>
        <v>0</v>
      </c>
      <c r="G156" s="14" t="n">
        <f aca="false">SUMIFS('Recruiter Activity'!$H$4:$H$804,'Recruiter Activity'!$B$4:$B$804,A156,'Recruiter Activity'!$C$4:$C$804,B156)</f>
        <v>0</v>
      </c>
      <c r="H156" s="16" t="str">
        <f aca="false">IFERROR(G156/F156,"")</f>
        <v/>
      </c>
    </row>
    <row r="157" customFormat="false" ht="15" hidden="false" customHeight="false" outlineLevel="0" collapsed="false">
      <c r="A157" s="31" t="s">
        <v>48</v>
      </c>
      <c r="B157" s="31" t="s">
        <v>382</v>
      </c>
      <c r="C157" s="14" t="n">
        <f aca="false">COUNTIFS('Recruiter Activity'!$B$4:$B$804,A157,'Recruiter Activity'!$C$4:$C$804,B157)</f>
        <v>1</v>
      </c>
      <c r="D157" s="14" t="n">
        <f aca="false">SUMIFS('Recruiter Activity'!$E$4:$E$804,'Recruiter Activity'!$B$4:$B$804,A157,'Recruiter Activity'!$C$4:$C$804,B157)</f>
        <v>0</v>
      </c>
      <c r="E157" s="14" t="n">
        <f aca="false">SUMIFS('Recruiter Activity'!$F$4:$F$804,'Recruiter Activity'!$B$4:$B$804,A157,'Recruiter Activity'!$C$4:$C$804,B157)</f>
        <v>0</v>
      </c>
      <c r="F157" s="14" t="n">
        <f aca="false">SUMIFS('Recruiter Activity'!$G$4:$G$804,'Recruiter Activity'!$B$4:$B$804,A157,'Recruiter Activity'!$C$4:$C$804,B157)</f>
        <v>23</v>
      </c>
      <c r="G157" s="14" t="n">
        <f aca="false">SUMIFS('Recruiter Activity'!$H$4:$H$804,'Recruiter Activity'!$B$4:$B$804,A157,'Recruiter Activity'!$C$4:$C$804,B157)</f>
        <v>0</v>
      </c>
      <c r="H157" s="16" t="n">
        <f aca="false">IFERROR(G157/F157,"")</f>
        <v>0</v>
      </c>
    </row>
    <row r="158" customFormat="false" ht="15" hidden="false" customHeight="false" outlineLevel="0" collapsed="false">
      <c r="A158" s="31" t="s">
        <v>48</v>
      </c>
      <c r="B158" s="31" t="s">
        <v>383</v>
      </c>
      <c r="C158" s="14" t="n">
        <f aca="false">COUNTIFS('Recruiter Activity'!$B$4:$B$804,A158,'Recruiter Activity'!$C$4:$C$804,B158)</f>
        <v>1</v>
      </c>
      <c r="D158" s="14" t="n">
        <f aca="false">SUMIFS('Recruiter Activity'!$E$4:$E$804,'Recruiter Activity'!$B$4:$B$804,A158,'Recruiter Activity'!$C$4:$C$804,B158)</f>
        <v>0</v>
      </c>
      <c r="E158" s="14" t="n">
        <f aca="false">SUMIFS('Recruiter Activity'!$F$4:$F$804,'Recruiter Activity'!$B$4:$B$804,A158,'Recruiter Activity'!$C$4:$C$804,B158)</f>
        <v>0</v>
      </c>
      <c r="F158" s="14" t="n">
        <f aca="false">SUMIFS('Recruiter Activity'!$G$4:$G$804,'Recruiter Activity'!$B$4:$B$804,A158,'Recruiter Activity'!$C$4:$C$804,B158)</f>
        <v>0</v>
      </c>
      <c r="G158" s="14" t="n">
        <f aca="false">SUMIFS('Recruiter Activity'!$H$4:$H$804,'Recruiter Activity'!$B$4:$B$804,A158,'Recruiter Activity'!$C$4:$C$804,B158)</f>
        <v>0</v>
      </c>
      <c r="H158" s="16" t="str">
        <f aca="false">IFERROR(G158/F158,"")</f>
        <v/>
      </c>
    </row>
    <row r="159" customFormat="false" ht="15" hidden="false" customHeight="false" outlineLevel="0" collapsed="false">
      <c r="A159" s="31" t="s">
        <v>48</v>
      </c>
      <c r="B159" s="31" t="s">
        <v>384</v>
      </c>
      <c r="C159" s="14" t="n">
        <f aca="false">COUNTIFS('Recruiter Activity'!$B$4:$B$804,A159,'Recruiter Activity'!$C$4:$C$804,B159)</f>
        <v>1</v>
      </c>
      <c r="D159" s="14" t="n">
        <f aca="false">SUMIFS('Recruiter Activity'!$E$4:$E$804,'Recruiter Activity'!$B$4:$B$804,A159,'Recruiter Activity'!$C$4:$C$804,B159)</f>
        <v>0</v>
      </c>
      <c r="E159" s="14" t="n">
        <f aca="false">SUMIFS('Recruiter Activity'!$F$4:$F$804,'Recruiter Activity'!$B$4:$B$804,A159,'Recruiter Activity'!$C$4:$C$804,B159)</f>
        <v>0</v>
      </c>
      <c r="F159" s="14" t="n">
        <f aca="false">SUMIFS('Recruiter Activity'!$G$4:$G$804,'Recruiter Activity'!$B$4:$B$804,A159,'Recruiter Activity'!$C$4:$C$804,B159)</f>
        <v>40</v>
      </c>
      <c r="G159" s="14" t="n">
        <f aca="false">SUMIFS('Recruiter Activity'!$H$4:$H$804,'Recruiter Activity'!$B$4:$B$804,A159,'Recruiter Activity'!$C$4:$C$804,B159)</f>
        <v>0</v>
      </c>
      <c r="H159" s="16" t="n">
        <f aca="false">IFERROR(G159/F159,"")</f>
        <v>0</v>
      </c>
    </row>
    <row r="160" customFormat="false" ht="15" hidden="false" customHeight="false" outlineLevel="0" collapsed="false">
      <c r="A160" s="31" t="s">
        <v>48</v>
      </c>
      <c r="B160" s="31" t="s">
        <v>347</v>
      </c>
      <c r="C160" s="14" t="n">
        <f aca="false">COUNTIFS('Recruiter Activity'!$B$4:$B$804,A160,'Recruiter Activity'!$C$4:$C$804,B160)</f>
        <v>1</v>
      </c>
      <c r="D160" s="14" t="n">
        <f aca="false">SUMIFS('Recruiter Activity'!$E$4:$E$804,'Recruiter Activity'!$B$4:$B$804,A160,'Recruiter Activity'!$C$4:$C$804,B160)</f>
        <v>0</v>
      </c>
      <c r="E160" s="14" t="n">
        <f aca="false">SUMIFS('Recruiter Activity'!$F$4:$F$804,'Recruiter Activity'!$B$4:$B$804,A160,'Recruiter Activity'!$C$4:$C$804,B160)</f>
        <v>0</v>
      </c>
      <c r="F160" s="14" t="n">
        <f aca="false">SUMIFS('Recruiter Activity'!$G$4:$G$804,'Recruiter Activity'!$B$4:$B$804,A160,'Recruiter Activity'!$C$4:$C$804,B160)</f>
        <v>18</v>
      </c>
      <c r="G160" s="14" t="n">
        <f aca="false">SUMIFS('Recruiter Activity'!$H$4:$H$804,'Recruiter Activity'!$B$4:$B$804,A160,'Recruiter Activity'!$C$4:$C$804,B160)</f>
        <v>0</v>
      </c>
      <c r="H160" s="16" t="n">
        <f aca="false">IFERROR(G160/F160,"")</f>
        <v>0</v>
      </c>
    </row>
    <row r="161" customFormat="false" ht="15" hidden="false" customHeight="false" outlineLevel="0" collapsed="false">
      <c r="A161" s="31" t="s">
        <v>48</v>
      </c>
      <c r="B161" s="31" t="s">
        <v>121</v>
      </c>
      <c r="C161" s="14" t="n">
        <f aca="false">COUNTIFS('Recruiter Activity'!$B$4:$B$804,A161,'Recruiter Activity'!$C$4:$C$804,B161)</f>
        <v>1</v>
      </c>
      <c r="D161" s="14" t="n">
        <f aca="false">SUMIFS('Recruiter Activity'!$E$4:$E$804,'Recruiter Activity'!$B$4:$B$804,A161,'Recruiter Activity'!$C$4:$C$804,B161)</f>
        <v>0</v>
      </c>
      <c r="E161" s="14" t="n">
        <f aca="false">SUMIFS('Recruiter Activity'!$F$4:$F$804,'Recruiter Activity'!$B$4:$B$804,A161,'Recruiter Activity'!$C$4:$C$804,B161)</f>
        <v>0</v>
      </c>
      <c r="F161" s="14" t="n">
        <f aca="false">SUMIFS('Recruiter Activity'!$G$4:$G$804,'Recruiter Activity'!$B$4:$B$804,A161,'Recruiter Activity'!$C$4:$C$804,B161)</f>
        <v>0</v>
      </c>
      <c r="G161" s="14" t="n">
        <f aca="false">SUMIFS('Recruiter Activity'!$H$4:$H$804,'Recruiter Activity'!$B$4:$B$804,A161,'Recruiter Activity'!$C$4:$C$804,B161)</f>
        <v>0</v>
      </c>
      <c r="H161" s="16" t="str">
        <f aca="false">IFERROR(G161/F161,"")</f>
        <v/>
      </c>
    </row>
    <row r="162" customFormat="false" ht="15" hidden="false" customHeight="false" outlineLevel="0" collapsed="false">
      <c r="A162" s="31" t="s">
        <v>48</v>
      </c>
      <c r="B162" s="31" t="s">
        <v>387</v>
      </c>
      <c r="C162" s="14" t="n">
        <f aca="false">COUNTIFS('Recruiter Activity'!$B$4:$B$804,A162,'Recruiter Activity'!$C$4:$C$804,B162)</f>
        <v>1</v>
      </c>
      <c r="D162" s="14" t="n">
        <f aca="false">SUMIFS('Recruiter Activity'!$E$4:$E$804,'Recruiter Activity'!$B$4:$B$804,A162,'Recruiter Activity'!$C$4:$C$804,B162)</f>
        <v>0</v>
      </c>
      <c r="E162" s="14" t="n">
        <f aca="false">SUMIFS('Recruiter Activity'!$F$4:$F$804,'Recruiter Activity'!$B$4:$B$804,A162,'Recruiter Activity'!$C$4:$C$804,B162)</f>
        <v>0</v>
      </c>
      <c r="F162" s="14" t="n">
        <f aca="false">SUMIFS('Recruiter Activity'!$G$4:$G$804,'Recruiter Activity'!$B$4:$B$804,A162,'Recruiter Activity'!$C$4:$C$804,B162)</f>
        <v>0</v>
      </c>
      <c r="G162" s="14" t="n">
        <f aca="false">SUMIFS('Recruiter Activity'!$H$4:$H$804,'Recruiter Activity'!$B$4:$B$804,A162,'Recruiter Activity'!$C$4:$C$804,B162)</f>
        <v>0</v>
      </c>
      <c r="H162" s="16" t="str">
        <f aca="false">IFERROR(G162/F162,"")</f>
        <v/>
      </c>
    </row>
    <row r="163" customFormat="false" ht="15" hidden="false" customHeight="false" outlineLevel="0" collapsed="false">
      <c r="A163" s="31" t="s">
        <v>48</v>
      </c>
      <c r="B163" s="31" t="s">
        <v>389</v>
      </c>
      <c r="C163" s="14" t="n">
        <f aca="false">COUNTIFS('Recruiter Activity'!$B$4:$B$804,A163,'Recruiter Activity'!$C$4:$C$804,B163)</f>
        <v>1</v>
      </c>
      <c r="D163" s="14" t="n">
        <f aca="false">SUMIFS('Recruiter Activity'!$E$4:$E$804,'Recruiter Activity'!$B$4:$B$804,A163,'Recruiter Activity'!$C$4:$C$804,B163)</f>
        <v>0</v>
      </c>
      <c r="E163" s="14" t="n">
        <f aca="false">SUMIFS('Recruiter Activity'!$F$4:$F$804,'Recruiter Activity'!$B$4:$B$804,A163,'Recruiter Activity'!$C$4:$C$804,B163)</f>
        <v>0</v>
      </c>
      <c r="F163" s="14" t="n">
        <f aca="false">SUMIFS('Recruiter Activity'!$G$4:$G$804,'Recruiter Activity'!$B$4:$B$804,A163,'Recruiter Activity'!$C$4:$C$804,B163)</f>
        <v>27</v>
      </c>
      <c r="G163" s="14" t="n">
        <f aca="false">SUMIFS('Recruiter Activity'!$H$4:$H$804,'Recruiter Activity'!$B$4:$B$804,A163,'Recruiter Activity'!$C$4:$C$804,B163)</f>
        <v>0</v>
      </c>
      <c r="H163" s="16" t="n">
        <f aca="false">IFERROR(G163/F163,"")</f>
        <v>0</v>
      </c>
    </row>
    <row r="164" customFormat="false" ht="15" hidden="false" customHeight="false" outlineLevel="0" collapsed="false">
      <c r="A164" s="31" t="s">
        <v>48</v>
      </c>
      <c r="B164" s="31" t="s">
        <v>390</v>
      </c>
      <c r="C164" s="14" t="n">
        <f aca="false">COUNTIFS('Recruiter Activity'!$B$4:$B$804,A164,'Recruiter Activity'!$C$4:$C$804,B164)</f>
        <v>1</v>
      </c>
      <c r="D164" s="14" t="n">
        <f aca="false">SUMIFS('Recruiter Activity'!$E$4:$E$804,'Recruiter Activity'!$B$4:$B$804,A164,'Recruiter Activity'!$C$4:$C$804,B164)</f>
        <v>0</v>
      </c>
      <c r="E164" s="14" t="n">
        <f aca="false">SUMIFS('Recruiter Activity'!$F$4:$F$804,'Recruiter Activity'!$B$4:$B$804,A164,'Recruiter Activity'!$C$4:$C$804,B164)</f>
        <v>0</v>
      </c>
      <c r="F164" s="14" t="n">
        <f aca="false">SUMIFS('Recruiter Activity'!$G$4:$G$804,'Recruiter Activity'!$B$4:$B$804,A164,'Recruiter Activity'!$C$4:$C$804,B164)</f>
        <v>36</v>
      </c>
      <c r="G164" s="14" t="n">
        <f aca="false">SUMIFS('Recruiter Activity'!$H$4:$H$804,'Recruiter Activity'!$B$4:$B$804,A164,'Recruiter Activity'!$C$4:$C$804,B164)</f>
        <v>0</v>
      </c>
      <c r="H164" s="16" t="n">
        <f aca="false">IFERROR(G164/F164,"")</f>
        <v>0</v>
      </c>
    </row>
    <row r="165" customFormat="false" ht="15" hidden="false" customHeight="false" outlineLevel="0" collapsed="false">
      <c r="A165" s="31" t="s">
        <v>48</v>
      </c>
      <c r="B165" s="31" t="s">
        <v>391</v>
      </c>
      <c r="C165" s="14" t="n">
        <f aca="false">COUNTIFS('Recruiter Activity'!$B$4:$B$804,A165,'Recruiter Activity'!$C$4:$C$804,B165)</f>
        <v>1</v>
      </c>
      <c r="D165" s="14" t="n">
        <f aca="false">SUMIFS('Recruiter Activity'!$E$4:$E$804,'Recruiter Activity'!$B$4:$B$804,A165,'Recruiter Activity'!$C$4:$C$804,B165)</f>
        <v>0</v>
      </c>
      <c r="E165" s="14" t="n">
        <f aca="false">SUMIFS('Recruiter Activity'!$F$4:$F$804,'Recruiter Activity'!$B$4:$B$804,A165,'Recruiter Activity'!$C$4:$C$804,B165)</f>
        <v>0</v>
      </c>
      <c r="F165" s="14" t="n">
        <f aca="false">SUMIFS('Recruiter Activity'!$G$4:$G$804,'Recruiter Activity'!$B$4:$B$804,A165,'Recruiter Activity'!$C$4:$C$804,B165)</f>
        <v>0</v>
      </c>
      <c r="G165" s="14" t="n">
        <f aca="false">SUMIFS('Recruiter Activity'!$H$4:$H$804,'Recruiter Activity'!$B$4:$B$804,A165,'Recruiter Activity'!$C$4:$C$804,B165)</f>
        <v>0</v>
      </c>
      <c r="H165" s="16" t="str">
        <f aca="false">IFERROR(G165/F165,"")</f>
        <v/>
      </c>
    </row>
    <row r="166" customFormat="false" ht="15" hidden="false" customHeight="false" outlineLevel="0" collapsed="false">
      <c r="A166" s="31" t="s">
        <v>48</v>
      </c>
      <c r="B166" s="31" t="s">
        <v>320</v>
      </c>
      <c r="C166" s="14" t="n">
        <f aca="false">COUNTIFS('Recruiter Activity'!$B$4:$B$804,A166,'Recruiter Activity'!$C$4:$C$804,B166)</f>
        <v>1</v>
      </c>
      <c r="D166" s="14" t="n">
        <f aca="false">SUMIFS('Recruiter Activity'!$E$4:$E$804,'Recruiter Activity'!$B$4:$B$804,A166,'Recruiter Activity'!$C$4:$C$804,B166)</f>
        <v>0</v>
      </c>
      <c r="E166" s="14" t="n">
        <f aca="false">SUMIFS('Recruiter Activity'!$F$4:$F$804,'Recruiter Activity'!$B$4:$B$804,A166,'Recruiter Activity'!$C$4:$C$804,B166)</f>
        <v>0</v>
      </c>
      <c r="F166" s="14" t="n">
        <f aca="false">SUMIFS('Recruiter Activity'!$G$4:$G$804,'Recruiter Activity'!$B$4:$B$804,A166,'Recruiter Activity'!$C$4:$C$804,B166)</f>
        <v>49</v>
      </c>
      <c r="G166" s="14" t="n">
        <f aca="false">SUMIFS('Recruiter Activity'!$H$4:$H$804,'Recruiter Activity'!$B$4:$B$804,A166,'Recruiter Activity'!$C$4:$C$804,B166)</f>
        <v>0</v>
      </c>
      <c r="H166" s="16" t="n">
        <f aca="false">IFERROR(G166/F166,"")</f>
        <v>0</v>
      </c>
    </row>
    <row r="167" customFormat="false" ht="15" hidden="false" customHeight="false" outlineLevel="0" collapsed="false">
      <c r="A167" s="31" t="s">
        <v>48</v>
      </c>
      <c r="B167" s="31" t="s">
        <v>394</v>
      </c>
      <c r="C167" s="14" t="n">
        <f aca="false">COUNTIFS('Recruiter Activity'!$B$4:$B$804,A167,'Recruiter Activity'!$C$4:$C$804,B167)</f>
        <v>1</v>
      </c>
      <c r="D167" s="14" t="n">
        <f aca="false">SUMIFS('Recruiter Activity'!$E$4:$E$804,'Recruiter Activity'!$B$4:$B$804,A167,'Recruiter Activity'!$C$4:$C$804,B167)</f>
        <v>0</v>
      </c>
      <c r="E167" s="14" t="n">
        <f aca="false">SUMIFS('Recruiter Activity'!$F$4:$F$804,'Recruiter Activity'!$B$4:$B$804,A167,'Recruiter Activity'!$C$4:$C$804,B167)</f>
        <v>0</v>
      </c>
      <c r="F167" s="14" t="n">
        <f aca="false">SUMIFS('Recruiter Activity'!$G$4:$G$804,'Recruiter Activity'!$B$4:$B$804,A167,'Recruiter Activity'!$C$4:$C$804,B167)</f>
        <v>50</v>
      </c>
      <c r="G167" s="14" t="n">
        <f aca="false">SUMIFS('Recruiter Activity'!$H$4:$H$804,'Recruiter Activity'!$B$4:$B$804,A167,'Recruiter Activity'!$C$4:$C$804,B167)</f>
        <v>0</v>
      </c>
      <c r="H167" s="16" t="n">
        <f aca="false">IFERROR(G167/F167,"")</f>
        <v>0</v>
      </c>
    </row>
    <row r="168" customFormat="false" ht="15" hidden="false" customHeight="false" outlineLevel="0" collapsed="false">
      <c r="A168" s="31" t="s">
        <v>48</v>
      </c>
      <c r="B168" s="31" t="s">
        <v>395</v>
      </c>
      <c r="C168" s="14" t="n">
        <f aca="false">COUNTIFS('Recruiter Activity'!$B$4:$B$804,A168,'Recruiter Activity'!$C$4:$C$804,B168)</f>
        <v>1</v>
      </c>
      <c r="D168" s="14" t="n">
        <f aca="false">SUMIFS('Recruiter Activity'!$E$4:$E$804,'Recruiter Activity'!$B$4:$B$804,A168,'Recruiter Activity'!$C$4:$C$804,B168)</f>
        <v>0</v>
      </c>
      <c r="E168" s="14" t="n">
        <f aca="false">SUMIFS('Recruiter Activity'!$F$4:$F$804,'Recruiter Activity'!$B$4:$B$804,A168,'Recruiter Activity'!$C$4:$C$804,B168)</f>
        <v>0</v>
      </c>
      <c r="F168" s="14" t="n">
        <f aca="false">SUMIFS('Recruiter Activity'!$G$4:$G$804,'Recruiter Activity'!$B$4:$B$804,A168,'Recruiter Activity'!$C$4:$C$804,B168)</f>
        <v>0</v>
      </c>
      <c r="G168" s="14" t="n">
        <f aca="false">SUMIFS('Recruiter Activity'!$H$4:$H$804,'Recruiter Activity'!$B$4:$B$804,A168,'Recruiter Activity'!$C$4:$C$804,B168)</f>
        <v>0</v>
      </c>
      <c r="H168" s="16" t="str">
        <f aca="false">IFERROR(G168/F168,"")</f>
        <v/>
      </c>
    </row>
    <row r="169" customFormat="false" ht="15" hidden="false" customHeight="false" outlineLevel="0" collapsed="false">
      <c r="A169" s="31" t="s">
        <v>48</v>
      </c>
      <c r="B169" s="31" t="s">
        <v>397</v>
      </c>
      <c r="C169" s="14" t="n">
        <f aca="false">COUNTIFS('Recruiter Activity'!$B$4:$B$804,A169,'Recruiter Activity'!$C$4:$C$804,B169)</f>
        <v>1</v>
      </c>
      <c r="D169" s="14" t="n">
        <f aca="false">SUMIFS('Recruiter Activity'!$E$4:$E$804,'Recruiter Activity'!$B$4:$B$804,A169,'Recruiter Activity'!$C$4:$C$804,B169)</f>
        <v>0</v>
      </c>
      <c r="E169" s="14" t="n">
        <f aca="false">SUMIFS('Recruiter Activity'!$F$4:$F$804,'Recruiter Activity'!$B$4:$B$804,A169,'Recruiter Activity'!$C$4:$C$804,B169)</f>
        <v>0</v>
      </c>
      <c r="F169" s="14" t="n">
        <f aca="false">SUMIFS('Recruiter Activity'!$G$4:$G$804,'Recruiter Activity'!$B$4:$B$804,A169,'Recruiter Activity'!$C$4:$C$804,B169)</f>
        <v>0</v>
      </c>
      <c r="G169" s="14" t="n">
        <f aca="false">SUMIFS('Recruiter Activity'!$H$4:$H$804,'Recruiter Activity'!$B$4:$B$804,A169,'Recruiter Activity'!$C$4:$C$804,B169)</f>
        <v>0</v>
      </c>
      <c r="H169" s="16" t="str">
        <f aca="false">IFERROR(G169/F169,"")</f>
        <v/>
      </c>
    </row>
    <row r="170" customFormat="false" ht="15" hidden="false" customHeight="false" outlineLevel="0" collapsed="false">
      <c r="A170" s="31" t="s">
        <v>48</v>
      </c>
      <c r="B170" s="31" t="s">
        <v>399</v>
      </c>
      <c r="C170" s="14" t="n">
        <f aca="false">COUNTIFS('Recruiter Activity'!$B$4:$B$804,A170,'Recruiter Activity'!$C$4:$C$804,B170)</f>
        <v>1</v>
      </c>
      <c r="D170" s="14" t="n">
        <f aca="false">SUMIFS('Recruiter Activity'!$E$4:$E$804,'Recruiter Activity'!$B$4:$B$804,A170,'Recruiter Activity'!$C$4:$C$804,B170)</f>
        <v>0</v>
      </c>
      <c r="E170" s="14" t="n">
        <f aca="false">SUMIFS('Recruiter Activity'!$F$4:$F$804,'Recruiter Activity'!$B$4:$B$804,A170,'Recruiter Activity'!$C$4:$C$804,B170)</f>
        <v>0</v>
      </c>
      <c r="F170" s="14" t="n">
        <f aca="false">SUMIFS('Recruiter Activity'!$G$4:$G$804,'Recruiter Activity'!$B$4:$B$804,A170,'Recruiter Activity'!$C$4:$C$804,B170)</f>
        <v>0</v>
      </c>
      <c r="G170" s="14" t="n">
        <f aca="false">SUMIFS('Recruiter Activity'!$H$4:$H$804,'Recruiter Activity'!$B$4:$B$804,A170,'Recruiter Activity'!$C$4:$C$804,B170)</f>
        <v>0</v>
      </c>
      <c r="H170" s="16" t="str">
        <f aca="false">IFERROR(G170/F170,"")</f>
        <v/>
      </c>
    </row>
    <row r="171" customFormat="false" ht="15" hidden="false" customHeight="false" outlineLevel="0" collapsed="false">
      <c r="A171" s="31" t="s">
        <v>48</v>
      </c>
      <c r="B171" s="31" t="s">
        <v>400</v>
      </c>
      <c r="C171" s="14" t="n">
        <f aca="false">COUNTIFS('Recruiter Activity'!$B$4:$B$804,A171,'Recruiter Activity'!$C$4:$C$804,B171)</f>
        <v>1</v>
      </c>
      <c r="D171" s="14" t="n">
        <f aca="false">SUMIFS('Recruiter Activity'!$E$4:$E$804,'Recruiter Activity'!$B$4:$B$804,A171,'Recruiter Activity'!$C$4:$C$804,B171)</f>
        <v>0</v>
      </c>
      <c r="E171" s="14" t="n">
        <f aca="false">SUMIFS('Recruiter Activity'!$F$4:$F$804,'Recruiter Activity'!$B$4:$B$804,A171,'Recruiter Activity'!$C$4:$C$804,B171)</f>
        <v>0</v>
      </c>
      <c r="F171" s="14" t="n">
        <f aca="false">SUMIFS('Recruiter Activity'!$G$4:$G$804,'Recruiter Activity'!$B$4:$B$804,A171,'Recruiter Activity'!$C$4:$C$804,B171)</f>
        <v>1</v>
      </c>
      <c r="G171" s="14" t="n">
        <f aca="false">SUMIFS('Recruiter Activity'!$H$4:$H$804,'Recruiter Activity'!$B$4:$B$804,A171,'Recruiter Activity'!$C$4:$C$804,B171)</f>
        <v>0</v>
      </c>
      <c r="H171" s="16" t="n">
        <f aca="false">IFERROR(G171/F171,"")</f>
        <v>0</v>
      </c>
    </row>
    <row r="172" customFormat="false" ht="15" hidden="false" customHeight="false" outlineLevel="0" collapsed="false">
      <c r="A172" s="31" t="s">
        <v>48</v>
      </c>
      <c r="B172" s="31" t="s">
        <v>402</v>
      </c>
      <c r="C172" s="14" t="n">
        <f aca="false">COUNTIFS('Recruiter Activity'!$B$4:$B$804,A172,'Recruiter Activity'!$C$4:$C$804,B172)</f>
        <v>1</v>
      </c>
      <c r="D172" s="14" t="n">
        <f aca="false">SUMIFS('Recruiter Activity'!$E$4:$E$804,'Recruiter Activity'!$B$4:$B$804,A172,'Recruiter Activity'!$C$4:$C$804,B172)</f>
        <v>0</v>
      </c>
      <c r="E172" s="14" t="n">
        <f aca="false">SUMIFS('Recruiter Activity'!$F$4:$F$804,'Recruiter Activity'!$B$4:$B$804,A172,'Recruiter Activity'!$C$4:$C$804,B172)</f>
        <v>0</v>
      </c>
      <c r="F172" s="14" t="n">
        <f aca="false">SUMIFS('Recruiter Activity'!$G$4:$G$804,'Recruiter Activity'!$B$4:$B$804,A172,'Recruiter Activity'!$C$4:$C$804,B172)</f>
        <v>14</v>
      </c>
      <c r="G172" s="14" t="n">
        <f aca="false">SUMIFS('Recruiter Activity'!$H$4:$H$804,'Recruiter Activity'!$B$4:$B$804,A172,'Recruiter Activity'!$C$4:$C$804,B172)</f>
        <v>0</v>
      </c>
      <c r="H172" s="16" t="n">
        <f aca="false">IFERROR(G172/F172,"")</f>
        <v>0</v>
      </c>
    </row>
    <row r="173" customFormat="false" ht="15" hidden="false" customHeight="false" outlineLevel="0" collapsed="false">
      <c r="A173" s="31" t="s">
        <v>48</v>
      </c>
      <c r="B173" s="31" t="s">
        <v>403</v>
      </c>
      <c r="C173" s="14" t="n">
        <f aca="false">COUNTIFS('Recruiter Activity'!$B$4:$B$804,A173,'Recruiter Activity'!$C$4:$C$804,B173)</f>
        <v>1</v>
      </c>
      <c r="D173" s="14" t="n">
        <f aca="false">SUMIFS('Recruiter Activity'!$E$4:$E$804,'Recruiter Activity'!$B$4:$B$804,A173,'Recruiter Activity'!$C$4:$C$804,B173)</f>
        <v>0</v>
      </c>
      <c r="E173" s="14" t="n">
        <f aca="false">SUMIFS('Recruiter Activity'!$F$4:$F$804,'Recruiter Activity'!$B$4:$B$804,A173,'Recruiter Activity'!$C$4:$C$804,B173)</f>
        <v>0</v>
      </c>
      <c r="F173" s="14" t="n">
        <f aca="false">SUMIFS('Recruiter Activity'!$G$4:$G$804,'Recruiter Activity'!$B$4:$B$804,A173,'Recruiter Activity'!$C$4:$C$804,B173)</f>
        <v>25</v>
      </c>
      <c r="G173" s="14" t="n">
        <f aca="false">SUMIFS('Recruiter Activity'!$H$4:$H$804,'Recruiter Activity'!$B$4:$B$804,A173,'Recruiter Activity'!$C$4:$C$804,B173)</f>
        <v>0</v>
      </c>
      <c r="H173" s="16" t="n">
        <f aca="false">IFERROR(G173/F173,"")</f>
        <v>0</v>
      </c>
    </row>
    <row r="174" customFormat="false" ht="15" hidden="false" customHeight="false" outlineLevel="0" collapsed="false">
      <c r="A174" s="31" t="s">
        <v>48</v>
      </c>
      <c r="B174" s="31" t="s">
        <v>404</v>
      </c>
      <c r="C174" s="14" t="n">
        <f aca="false">COUNTIFS('Recruiter Activity'!$B$4:$B$804,A174,'Recruiter Activity'!$C$4:$C$804,B174)</f>
        <v>1</v>
      </c>
      <c r="D174" s="14" t="n">
        <f aca="false">SUMIFS('Recruiter Activity'!$E$4:$E$804,'Recruiter Activity'!$B$4:$B$804,A174,'Recruiter Activity'!$C$4:$C$804,B174)</f>
        <v>0</v>
      </c>
      <c r="E174" s="14" t="n">
        <f aca="false">SUMIFS('Recruiter Activity'!$F$4:$F$804,'Recruiter Activity'!$B$4:$B$804,A174,'Recruiter Activity'!$C$4:$C$804,B174)</f>
        <v>0</v>
      </c>
      <c r="F174" s="14" t="n">
        <f aca="false">SUMIFS('Recruiter Activity'!$G$4:$G$804,'Recruiter Activity'!$B$4:$B$804,A174,'Recruiter Activity'!$C$4:$C$804,B174)</f>
        <v>17</v>
      </c>
      <c r="G174" s="14" t="n">
        <f aca="false">SUMIFS('Recruiter Activity'!$H$4:$H$804,'Recruiter Activity'!$B$4:$B$804,A174,'Recruiter Activity'!$C$4:$C$804,B174)</f>
        <v>0</v>
      </c>
      <c r="H174" s="16" t="n">
        <f aca="false">IFERROR(G174/F174,"")</f>
        <v>0</v>
      </c>
    </row>
    <row r="175" customFormat="false" ht="15" hidden="false" customHeight="false" outlineLevel="0" collapsed="false">
      <c r="A175" s="31" t="s">
        <v>48</v>
      </c>
      <c r="B175" s="31" t="s">
        <v>405</v>
      </c>
      <c r="C175" s="14" t="n">
        <f aca="false">COUNTIFS('Recruiter Activity'!$B$4:$B$804,A175,'Recruiter Activity'!$C$4:$C$804,B175)</f>
        <v>1</v>
      </c>
      <c r="D175" s="14" t="n">
        <f aca="false">SUMIFS('Recruiter Activity'!$E$4:$E$804,'Recruiter Activity'!$B$4:$B$804,A175,'Recruiter Activity'!$C$4:$C$804,B175)</f>
        <v>0</v>
      </c>
      <c r="E175" s="14" t="n">
        <f aca="false">SUMIFS('Recruiter Activity'!$F$4:$F$804,'Recruiter Activity'!$B$4:$B$804,A175,'Recruiter Activity'!$C$4:$C$804,B175)</f>
        <v>0</v>
      </c>
      <c r="F175" s="14" t="n">
        <f aca="false">SUMIFS('Recruiter Activity'!$G$4:$G$804,'Recruiter Activity'!$B$4:$B$804,A175,'Recruiter Activity'!$C$4:$C$804,B175)</f>
        <v>0</v>
      </c>
      <c r="G175" s="14" t="n">
        <f aca="false">SUMIFS('Recruiter Activity'!$H$4:$H$804,'Recruiter Activity'!$B$4:$B$804,A175,'Recruiter Activity'!$C$4:$C$804,B175)</f>
        <v>0</v>
      </c>
      <c r="H175" s="16" t="str">
        <f aca="false">IFERROR(G175/F175,"")</f>
        <v/>
      </c>
    </row>
    <row r="176" customFormat="false" ht="15" hidden="false" customHeight="false" outlineLevel="0" collapsed="false">
      <c r="A176" s="31" t="s">
        <v>48</v>
      </c>
      <c r="B176" s="31" t="s">
        <v>406</v>
      </c>
      <c r="C176" s="14" t="n">
        <f aca="false">COUNTIFS('Recruiter Activity'!$B$4:$B$804,A176,'Recruiter Activity'!$C$4:$C$804,B176)</f>
        <v>1</v>
      </c>
      <c r="D176" s="14" t="n">
        <f aca="false">SUMIFS('Recruiter Activity'!$E$4:$E$804,'Recruiter Activity'!$B$4:$B$804,A176,'Recruiter Activity'!$C$4:$C$804,B176)</f>
        <v>0</v>
      </c>
      <c r="E176" s="14" t="n">
        <f aca="false">SUMIFS('Recruiter Activity'!$F$4:$F$804,'Recruiter Activity'!$B$4:$B$804,A176,'Recruiter Activity'!$C$4:$C$804,B176)</f>
        <v>0</v>
      </c>
      <c r="F176" s="14" t="n">
        <f aca="false">SUMIFS('Recruiter Activity'!$G$4:$G$804,'Recruiter Activity'!$B$4:$B$804,A176,'Recruiter Activity'!$C$4:$C$804,B176)</f>
        <v>0</v>
      </c>
      <c r="G176" s="14" t="n">
        <f aca="false">SUMIFS('Recruiter Activity'!$H$4:$H$804,'Recruiter Activity'!$B$4:$B$804,A176,'Recruiter Activity'!$C$4:$C$804,B176)</f>
        <v>0</v>
      </c>
      <c r="H176" s="16" t="str">
        <f aca="false">IFERROR(G176/F176,"")</f>
        <v/>
      </c>
    </row>
    <row r="177" customFormat="false" ht="15" hidden="false" customHeight="false" outlineLevel="0" collapsed="false">
      <c r="A177" s="31" t="s">
        <v>48</v>
      </c>
      <c r="B177" s="31" t="s">
        <v>408</v>
      </c>
      <c r="C177" s="14" t="n">
        <f aca="false">COUNTIFS('Recruiter Activity'!$B$4:$B$804,A177,'Recruiter Activity'!$C$4:$C$804,B177)</f>
        <v>1</v>
      </c>
      <c r="D177" s="14" t="n">
        <f aca="false">SUMIFS('Recruiter Activity'!$E$4:$E$804,'Recruiter Activity'!$B$4:$B$804,A177,'Recruiter Activity'!$C$4:$C$804,B177)</f>
        <v>0</v>
      </c>
      <c r="E177" s="14" t="n">
        <f aca="false">SUMIFS('Recruiter Activity'!$F$4:$F$804,'Recruiter Activity'!$B$4:$B$804,A177,'Recruiter Activity'!$C$4:$C$804,B177)</f>
        <v>0</v>
      </c>
      <c r="F177" s="14" t="n">
        <f aca="false">SUMIFS('Recruiter Activity'!$G$4:$G$804,'Recruiter Activity'!$B$4:$B$804,A177,'Recruiter Activity'!$C$4:$C$804,B177)</f>
        <v>0</v>
      </c>
      <c r="G177" s="14" t="n">
        <f aca="false">SUMIFS('Recruiter Activity'!$H$4:$H$804,'Recruiter Activity'!$B$4:$B$804,A177,'Recruiter Activity'!$C$4:$C$804,B177)</f>
        <v>0</v>
      </c>
      <c r="H177" s="16" t="str">
        <f aca="false">IFERROR(G177/F177,"")</f>
        <v/>
      </c>
    </row>
    <row r="178" customFormat="false" ht="15" hidden="false" customHeight="false" outlineLevel="0" collapsed="false">
      <c r="A178" s="31" t="s">
        <v>48</v>
      </c>
      <c r="B178" s="31" t="s">
        <v>410</v>
      </c>
      <c r="C178" s="14" t="n">
        <f aca="false">COUNTIFS('Recruiter Activity'!$B$4:$B$804,A178,'Recruiter Activity'!$C$4:$C$804,B178)</f>
        <v>1</v>
      </c>
      <c r="D178" s="14" t="n">
        <f aca="false">SUMIFS('Recruiter Activity'!$E$4:$E$804,'Recruiter Activity'!$B$4:$B$804,A178,'Recruiter Activity'!$C$4:$C$804,B178)</f>
        <v>0</v>
      </c>
      <c r="E178" s="14" t="n">
        <f aca="false">SUMIFS('Recruiter Activity'!$F$4:$F$804,'Recruiter Activity'!$B$4:$B$804,A178,'Recruiter Activity'!$C$4:$C$804,B178)</f>
        <v>0</v>
      </c>
      <c r="F178" s="14" t="n">
        <f aca="false">SUMIFS('Recruiter Activity'!$G$4:$G$804,'Recruiter Activity'!$B$4:$B$804,A178,'Recruiter Activity'!$C$4:$C$804,B178)</f>
        <v>0</v>
      </c>
      <c r="G178" s="14" t="n">
        <f aca="false">SUMIFS('Recruiter Activity'!$H$4:$H$804,'Recruiter Activity'!$B$4:$B$804,A178,'Recruiter Activity'!$C$4:$C$804,B178)</f>
        <v>0</v>
      </c>
      <c r="H178" s="16" t="str">
        <f aca="false">IFERROR(G178/F178,"")</f>
        <v/>
      </c>
    </row>
    <row r="179" customFormat="false" ht="15" hidden="false" customHeight="false" outlineLevel="0" collapsed="false">
      <c r="A179" s="31" t="s">
        <v>48</v>
      </c>
      <c r="B179" s="31" t="s">
        <v>316</v>
      </c>
      <c r="C179" s="14" t="n">
        <f aca="false">COUNTIFS('Recruiter Activity'!$B$4:$B$804,A179,'Recruiter Activity'!$C$4:$C$804,B179)</f>
        <v>1</v>
      </c>
      <c r="D179" s="14" t="n">
        <f aca="false">SUMIFS('Recruiter Activity'!$E$4:$E$804,'Recruiter Activity'!$B$4:$B$804,A179,'Recruiter Activity'!$C$4:$C$804,B179)</f>
        <v>0</v>
      </c>
      <c r="E179" s="14" t="n">
        <f aca="false">SUMIFS('Recruiter Activity'!$F$4:$F$804,'Recruiter Activity'!$B$4:$B$804,A179,'Recruiter Activity'!$C$4:$C$804,B179)</f>
        <v>0</v>
      </c>
      <c r="F179" s="14" t="n">
        <f aca="false">SUMIFS('Recruiter Activity'!$G$4:$G$804,'Recruiter Activity'!$B$4:$B$804,A179,'Recruiter Activity'!$C$4:$C$804,B179)</f>
        <v>0</v>
      </c>
      <c r="G179" s="14" t="n">
        <f aca="false">SUMIFS('Recruiter Activity'!$H$4:$H$804,'Recruiter Activity'!$B$4:$B$804,A179,'Recruiter Activity'!$C$4:$C$804,B179)</f>
        <v>0</v>
      </c>
      <c r="H179" s="16" t="str">
        <f aca="false">IFERROR(G179/F179,"")</f>
        <v/>
      </c>
    </row>
    <row r="180" customFormat="false" ht="15" hidden="false" customHeight="false" outlineLevel="0" collapsed="false">
      <c r="A180" s="31" t="s">
        <v>48</v>
      </c>
      <c r="B180" s="31" t="s">
        <v>412</v>
      </c>
      <c r="C180" s="14" t="n">
        <f aca="false">COUNTIFS('Recruiter Activity'!$B$4:$B$804,A180,'Recruiter Activity'!$C$4:$C$804,B180)</f>
        <v>1</v>
      </c>
      <c r="D180" s="14" t="n">
        <f aca="false">SUMIFS('Recruiter Activity'!$E$4:$E$804,'Recruiter Activity'!$B$4:$B$804,A180,'Recruiter Activity'!$C$4:$C$804,B180)</f>
        <v>0</v>
      </c>
      <c r="E180" s="14" t="n">
        <f aca="false">SUMIFS('Recruiter Activity'!$F$4:$F$804,'Recruiter Activity'!$B$4:$B$804,A180,'Recruiter Activity'!$C$4:$C$804,B180)</f>
        <v>0</v>
      </c>
      <c r="F180" s="14" t="n">
        <f aca="false">SUMIFS('Recruiter Activity'!$G$4:$G$804,'Recruiter Activity'!$B$4:$B$804,A180,'Recruiter Activity'!$C$4:$C$804,B180)</f>
        <v>0</v>
      </c>
      <c r="G180" s="14" t="n">
        <f aca="false">SUMIFS('Recruiter Activity'!$H$4:$H$804,'Recruiter Activity'!$B$4:$B$804,A180,'Recruiter Activity'!$C$4:$C$804,B180)</f>
        <v>0</v>
      </c>
      <c r="H180" s="16" t="str">
        <f aca="false">IFERROR(G180/F180,"")</f>
        <v/>
      </c>
    </row>
    <row r="181" customFormat="false" ht="15" hidden="false" customHeight="false" outlineLevel="0" collapsed="false">
      <c r="A181" s="31" t="s">
        <v>48</v>
      </c>
      <c r="B181" s="31" t="s">
        <v>413</v>
      </c>
      <c r="C181" s="14" t="n">
        <f aca="false">COUNTIFS('Recruiter Activity'!$B$4:$B$804,A181,'Recruiter Activity'!$C$4:$C$804,B181)</f>
        <v>1</v>
      </c>
      <c r="D181" s="14" t="n">
        <f aca="false">SUMIFS('Recruiter Activity'!$E$4:$E$804,'Recruiter Activity'!$B$4:$B$804,A181,'Recruiter Activity'!$C$4:$C$804,B181)</f>
        <v>0</v>
      </c>
      <c r="E181" s="14" t="n">
        <f aca="false">SUMIFS('Recruiter Activity'!$F$4:$F$804,'Recruiter Activity'!$B$4:$B$804,A181,'Recruiter Activity'!$C$4:$C$804,B181)</f>
        <v>0</v>
      </c>
      <c r="F181" s="14" t="n">
        <f aca="false">SUMIFS('Recruiter Activity'!$G$4:$G$804,'Recruiter Activity'!$B$4:$B$804,A181,'Recruiter Activity'!$C$4:$C$804,B181)</f>
        <v>0</v>
      </c>
      <c r="G181" s="14" t="n">
        <f aca="false">SUMIFS('Recruiter Activity'!$H$4:$H$804,'Recruiter Activity'!$B$4:$B$804,A181,'Recruiter Activity'!$C$4:$C$804,B181)</f>
        <v>0</v>
      </c>
      <c r="H181" s="16" t="str">
        <f aca="false">IFERROR(G181/F181,"")</f>
        <v/>
      </c>
    </row>
    <row r="182" customFormat="false" ht="15" hidden="false" customHeight="false" outlineLevel="0" collapsed="false">
      <c r="A182" s="31" t="s">
        <v>48</v>
      </c>
      <c r="B182" s="31" t="s">
        <v>349</v>
      </c>
      <c r="C182" s="14" t="n">
        <f aca="false">COUNTIFS('Recruiter Activity'!$B$4:$B$804,A182,'Recruiter Activity'!$C$4:$C$804,B182)</f>
        <v>1</v>
      </c>
      <c r="D182" s="14" t="n">
        <f aca="false">SUMIFS('Recruiter Activity'!$E$4:$E$804,'Recruiter Activity'!$B$4:$B$804,A182,'Recruiter Activity'!$C$4:$C$804,B182)</f>
        <v>0</v>
      </c>
      <c r="E182" s="14" t="n">
        <f aca="false">SUMIFS('Recruiter Activity'!$F$4:$F$804,'Recruiter Activity'!$B$4:$B$804,A182,'Recruiter Activity'!$C$4:$C$804,B182)</f>
        <v>0</v>
      </c>
      <c r="F182" s="14" t="n">
        <f aca="false">SUMIFS('Recruiter Activity'!$G$4:$G$804,'Recruiter Activity'!$B$4:$B$804,A182,'Recruiter Activity'!$C$4:$C$804,B182)</f>
        <v>0</v>
      </c>
      <c r="G182" s="14" t="n">
        <f aca="false">SUMIFS('Recruiter Activity'!$H$4:$H$804,'Recruiter Activity'!$B$4:$B$804,A182,'Recruiter Activity'!$C$4:$C$804,B182)</f>
        <v>0</v>
      </c>
      <c r="H182" s="16" t="str">
        <f aca="false">IFERROR(G182/F182,"")</f>
        <v/>
      </c>
    </row>
    <row r="183" customFormat="false" ht="15" hidden="false" customHeight="false" outlineLevel="0" collapsed="false">
      <c r="A183" s="31" t="s">
        <v>48</v>
      </c>
      <c r="B183" s="31" t="s">
        <v>415</v>
      </c>
      <c r="C183" s="14" t="n">
        <f aca="false">COUNTIFS('Recruiter Activity'!$B$4:$B$804,A183,'Recruiter Activity'!$C$4:$C$804,B183)</f>
        <v>1</v>
      </c>
      <c r="D183" s="14" t="n">
        <f aca="false">SUMIFS('Recruiter Activity'!$E$4:$E$804,'Recruiter Activity'!$B$4:$B$804,A183,'Recruiter Activity'!$C$4:$C$804,B183)</f>
        <v>0</v>
      </c>
      <c r="E183" s="14" t="n">
        <f aca="false">SUMIFS('Recruiter Activity'!$F$4:$F$804,'Recruiter Activity'!$B$4:$B$804,A183,'Recruiter Activity'!$C$4:$C$804,B183)</f>
        <v>0</v>
      </c>
      <c r="F183" s="14" t="n">
        <f aca="false">SUMIFS('Recruiter Activity'!$G$4:$G$804,'Recruiter Activity'!$B$4:$B$804,A183,'Recruiter Activity'!$C$4:$C$804,B183)</f>
        <v>0</v>
      </c>
      <c r="G183" s="14" t="n">
        <f aca="false">SUMIFS('Recruiter Activity'!$H$4:$H$804,'Recruiter Activity'!$B$4:$B$804,A183,'Recruiter Activity'!$C$4:$C$804,B183)</f>
        <v>0</v>
      </c>
      <c r="H183" s="16" t="str">
        <f aca="false">IFERROR(G183/F183,"")</f>
        <v/>
      </c>
    </row>
    <row r="184" customFormat="false" ht="15" hidden="false" customHeight="false" outlineLevel="0" collapsed="false">
      <c r="A184" s="31" t="s">
        <v>48</v>
      </c>
      <c r="B184" s="31" t="s">
        <v>416</v>
      </c>
      <c r="C184" s="14" t="n">
        <f aca="false">COUNTIFS('Recruiter Activity'!$B$4:$B$804,A184,'Recruiter Activity'!$C$4:$C$804,B184)</f>
        <v>1</v>
      </c>
      <c r="D184" s="14" t="n">
        <f aca="false">SUMIFS('Recruiter Activity'!$E$4:$E$804,'Recruiter Activity'!$B$4:$B$804,A184,'Recruiter Activity'!$C$4:$C$804,B184)</f>
        <v>0</v>
      </c>
      <c r="E184" s="14" t="n">
        <f aca="false">SUMIFS('Recruiter Activity'!$F$4:$F$804,'Recruiter Activity'!$B$4:$B$804,A184,'Recruiter Activity'!$C$4:$C$804,B184)</f>
        <v>0</v>
      </c>
      <c r="F184" s="14" t="n">
        <f aca="false">SUMIFS('Recruiter Activity'!$G$4:$G$804,'Recruiter Activity'!$B$4:$B$804,A184,'Recruiter Activity'!$C$4:$C$804,B184)</f>
        <v>0</v>
      </c>
      <c r="G184" s="14" t="n">
        <f aca="false">SUMIFS('Recruiter Activity'!$H$4:$H$804,'Recruiter Activity'!$B$4:$B$804,A184,'Recruiter Activity'!$C$4:$C$804,B184)</f>
        <v>0</v>
      </c>
      <c r="H184" s="16" t="str">
        <f aca="false">IFERROR(G184/F184,"")</f>
        <v/>
      </c>
    </row>
    <row r="185" customFormat="false" ht="15" hidden="false" customHeight="false" outlineLevel="0" collapsed="false">
      <c r="A185" s="31" t="s">
        <v>48</v>
      </c>
      <c r="B185" s="31" t="s">
        <v>418</v>
      </c>
      <c r="C185" s="14" t="n">
        <f aca="false">COUNTIFS('Recruiter Activity'!$B$4:$B$804,A185,'Recruiter Activity'!$C$4:$C$804,B185)</f>
        <v>1</v>
      </c>
      <c r="D185" s="14" t="n">
        <f aca="false">SUMIFS('Recruiter Activity'!$E$4:$E$804,'Recruiter Activity'!$B$4:$B$804,A185,'Recruiter Activity'!$C$4:$C$804,B185)</f>
        <v>0</v>
      </c>
      <c r="E185" s="14" t="n">
        <f aca="false">SUMIFS('Recruiter Activity'!$F$4:$F$804,'Recruiter Activity'!$B$4:$B$804,A185,'Recruiter Activity'!$C$4:$C$804,B185)</f>
        <v>0</v>
      </c>
      <c r="F185" s="14" t="n">
        <f aca="false">SUMIFS('Recruiter Activity'!$G$4:$G$804,'Recruiter Activity'!$B$4:$B$804,A185,'Recruiter Activity'!$C$4:$C$804,B185)</f>
        <v>0</v>
      </c>
      <c r="G185" s="14" t="n">
        <f aca="false">SUMIFS('Recruiter Activity'!$H$4:$H$804,'Recruiter Activity'!$B$4:$B$804,A185,'Recruiter Activity'!$C$4:$C$804,B185)</f>
        <v>0</v>
      </c>
      <c r="H185" s="16" t="str">
        <f aca="false">IFERROR(G185/F185,"")</f>
        <v/>
      </c>
    </row>
    <row r="186" customFormat="false" ht="15" hidden="false" customHeight="false" outlineLevel="0" collapsed="false">
      <c r="A186" s="31" t="s">
        <v>48</v>
      </c>
      <c r="B186" s="31" t="s">
        <v>420</v>
      </c>
      <c r="C186" s="14" t="n">
        <f aca="false">COUNTIFS('Recruiter Activity'!$B$4:$B$804,A186,'Recruiter Activity'!$C$4:$C$804,B186)</f>
        <v>1</v>
      </c>
      <c r="D186" s="14" t="n">
        <f aca="false">SUMIFS('Recruiter Activity'!$E$4:$E$804,'Recruiter Activity'!$B$4:$B$804,A186,'Recruiter Activity'!$C$4:$C$804,B186)</f>
        <v>0</v>
      </c>
      <c r="E186" s="14" t="n">
        <f aca="false">SUMIFS('Recruiter Activity'!$F$4:$F$804,'Recruiter Activity'!$B$4:$B$804,A186,'Recruiter Activity'!$C$4:$C$804,B186)</f>
        <v>0</v>
      </c>
      <c r="F186" s="14" t="n">
        <f aca="false">SUMIFS('Recruiter Activity'!$G$4:$G$804,'Recruiter Activity'!$B$4:$B$804,A186,'Recruiter Activity'!$C$4:$C$804,B186)</f>
        <v>0</v>
      </c>
      <c r="G186" s="14" t="n">
        <f aca="false">SUMIFS('Recruiter Activity'!$H$4:$H$804,'Recruiter Activity'!$B$4:$B$804,A186,'Recruiter Activity'!$C$4:$C$804,B186)</f>
        <v>0</v>
      </c>
      <c r="H186" s="16" t="str">
        <f aca="false">IFERROR(G186/F186,"")</f>
        <v/>
      </c>
    </row>
    <row r="187" customFormat="false" ht="15" hidden="false" customHeight="false" outlineLevel="0" collapsed="false">
      <c r="A187" s="31" t="s">
        <v>48</v>
      </c>
      <c r="B187" s="31" t="s">
        <v>422</v>
      </c>
      <c r="C187" s="14" t="n">
        <f aca="false">COUNTIFS('Recruiter Activity'!$B$4:$B$804,A187,'Recruiter Activity'!$C$4:$C$804,B187)</f>
        <v>1</v>
      </c>
      <c r="D187" s="14" t="n">
        <f aca="false">SUMIFS('Recruiter Activity'!$E$4:$E$804,'Recruiter Activity'!$B$4:$B$804,A187,'Recruiter Activity'!$C$4:$C$804,B187)</f>
        <v>0</v>
      </c>
      <c r="E187" s="14" t="n">
        <f aca="false">SUMIFS('Recruiter Activity'!$F$4:$F$804,'Recruiter Activity'!$B$4:$B$804,A187,'Recruiter Activity'!$C$4:$C$804,B187)</f>
        <v>0</v>
      </c>
      <c r="F187" s="14" t="n">
        <f aca="false">SUMIFS('Recruiter Activity'!$G$4:$G$804,'Recruiter Activity'!$B$4:$B$804,A187,'Recruiter Activity'!$C$4:$C$804,B187)</f>
        <v>0</v>
      </c>
      <c r="G187" s="14" t="n">
        <f aca="false">SUMIFS('Recruiter Activity'!$H$4:$H$804,'Recruiter Activity'!$B$4:$B$804,A187,'Recruiter Activity'!$C$4:$C$804,B187)</f>
        <v>0</v>
      </c>
      <c r="H187" s="16" t="str">
        <f aca="false">IFERROR(G187/F187,"")</f>
        <v/>
      </c>
    </row>
    <row r="188" customFormat="false" ht="15" hidden="false" customHeight="false" outlineLevel="0" collapsed="false">
      <c r="A188" s="31" t="s">
        <v>48</v>
      </c>
      <c r="B188" s="31" t="s">
        <v>312</v>
      </c>
      <c r="C188" s="14" t="n">
        <f aca="false">COUNTIFS('Recruiter Activity'!$B$4:$B$804,A188,'Recruiter Activity'!$C$4:$C$804,B188)</f>
        <v>1</v>
      </c>
      <c r="D188" s="14" t="n">
        <f aca="false">SUMIFS('Recruiter Activity'!$E$4:$E$804,'Recruiter Activity'!$B$4:$B$804,A188,'Recruiter Activity'!$C$4:$C$804,B188)</f>
        <v>0</v>
      </c>
      <c r="E188" s="14" t="n">
        <f aca="false">SUMIFS('Recruiter Activity'!$F$4:$F$804,'Recruiter Activity'!$B$4:$B$804,A188,'Recruiter Activity'!$C$4:$C$804,B188)</f>
        <v>0</v>
      </c>
      <c r="F188" s="14" t="n">
        <f aca="false">SUMIFS('Recruiter Activity'!$G$4:$G$804,'Recruiter Activity'!$B$4:$B$804,A188,'Recruiter Activity'!$C$4:$C$804,B188)</f>
        <v>25</v>
      </c>
      <c r="G188" s="14" t="n">
        <f aca="false">SUMIFS('Recruiter Activity'!$H$4:$H$804,'Recruiter Activity'!$B$4:$B$804,A188,'Recruiter Activity'!$C$4:$C$804,B188)</f>
        <v>0</v>
      </c>
      <c r="H188" s="16" t="n">
        <f aca="false">IFERROR(G188/F188,"")</f>
        <v>0</v>
      </c>
    </row>
    <row r="189" customFormat="false" ht="15" hidden="false" customHeight="false" outlineLevel="0" collapsed="false">
      <c r="A189" s="31" t="s">
        <v>48</v>
      </c>
      <c r="B189" s="31" t="s">
        <v>424</v>
      </c>
      <c r="C189" s="14" t="n">
        <f aca="false">COUNTIFS('Recruiter Activity'!$B$4:$B$804,A189,'Recruiter Activity'!$C$4:$C$804,B189)</f>
        <v>1</v>
      </c>
      <c r="D189" s="14" t="n">
        <f aca="false">SUMIFS('Recruiter Activity'!$E$4:$E$804,'Recruiter Activity'!$B$4:$B$804,A189,'Recruiter Activity'!$C$4:$C$804,B189)</f>
        <v>0</v>
      </c>
      <c r="E189" s="14" t="n">
        <f aca="false">SUMIFS('Recruiter Activity'!$F$4:$F$804,'Recruiter Activity'!$B$4:$B$804,A189,'Recruiter Activity'!$C$4:$C$804,B189)</f>
        <v>0</v>
      </c>
      <c r="F189" s="14" t="n">
        <f aca="false">SUMIFS('Recruiter Activity'!$G$4:$G$804,'Recruiter Activity'!$B$4:$B$804,A189,'Recruiter Activity'!$C$4:$C$804,B189)</f>
        <v>0</v>
      </c>
      <c r="G189" s="14" t="n">
        <f aca="false">SUMIFS('Recruiter Activity'!$H$4:$H$804,'Recruiter Activity'!$B$4:$B$804,A189,'Recruiter Activity'!$C$4:$C$804,B189)</f>
        <v>0</v>
      </c>
      <c r="H189" s="16" t="str">
        <f aca="false">IFERROR(G189/F189,"")</f>
        <v/>
      </c>
    </row>
    <row r="190" customFormat="false" ht="15" hidden="false" customHeight="false" outlineLevel="0" collapsed="false">
      <c r="A190" s="31" t="s">
        <v>48</v>
      </c>
      <c r="B190" s="31" t="s">
        <v>308</v>
      </c>
      <c r="C190" s="14" t="n">
        <f aca="false">COUNTIFS('Recruiter Activity'!$B$4:$B$804,A190,'Recruiter Activity'!$C$4:$C$804,B190)</f>
        <v>1</v>
      </c>
      <c r="D190" s="14" t="n">
        <f aca="false">SUMIFS('Recruiter Activity'!$E$4:$E$804,'Recruiter Activity'!$B$4:$B$804,A190,'Recruiter Activity'!$C$4:$C$804,B190)</f>
        <v>0</v>
      </c>
      <c r="E190" s="14" t="n">
        <f aca="false">SUMIFS('Recruiter Activity'!$F$4:$F$804,'Recruiter Activity'!$B$4:$B$804,A190,'Recruiter Activity'!$C$4:$C$804,B190)</f>
        <v>0</v>
      </c>
      <c r="F190" s="14" t="n">
        <f aca="false">SUMIFS('Recruiter Activity'!$G$4:$G$804,'Recruiter Activity'!$B$4:$B$804,A190,'Recruiter Activity'!$C$4:$C$804,B190)</f>
        <v>0</v>
      </c>
      <c r="G190" s="14" t="n">
        <f aca="false">SUMIFS('Recruiter Activity'!$H$4:$H$804,'Recruiter Activity'!$B$4:$B$804,A190,'Recruiter Activity'!$C$4:$C$804,B190)</f>
        <v>0</v>
      </c>
      <c r="H190" s="16" t="str">
        <f aca="false">IFERROR(G190/F190,"")</f>
        <v/>
      </c>
    </row>
    <row r="191" customFormat="false" ht="15" hidden="false" customHeight="false" outlineLevel="0" collapsed="false">
      <c r="A191" s="31" t="s">
        <v>48</v>
      </c>
      <c r="B191" s="31" t="s">
        <v>426</v>
      </c>
      <c r="C191" s="14" t="n">
        <f aca="false">COUNTIFS('Recruiter Activity'!$B$4:$B$804,A191,'Recruiter Activity'!$C$4:$C$804,B191)</f>
        <v>1</v>
      </c>
      <c r="D191" s="14" t="n">
        <f aca="false">SUMIFS('Recruiter Activity'!$E$4:$E$804,'Recruiter Activity'!$B$4:$B$804,A191,'Recruiter Activity'!$C$4:$C$804,B191)</f>
        <v>0</v>
      </c>
      <c r="E191" s="14" t="n">
        <f aca="false">SUMIFS('Recruiter Activity'!$F$4:$F$804,'Recruiter Activity'!$B$4:$B$804,A191,'Recruiter Activity'!$C$4:$C$804,B191)</f>
        <v>0</v>
      </c>
      <c r="F191" s="14" t="n">
        <f aca="false">SUMIFS('Recruiter Activity'!$G$4:$G$804,'Recruiter Activity'!$B$4:$B$804,A191,'Recruiter Activity'!$C$4:$C$804,B191)</f>
        <v>21</v>
      </c>
      <c r="G191" s="14" t="n">
        <f aca="false">SUMIFS('Recruiter Activity'!$H$4:$H$804,'Recruiter Activity'!$B$4:$B$804,A191,'Recruiter Activity'!$C$4:$C$804,B191)</f>
        <v>0</v>
      </c>
      <c r="H191" s="16" t="n">
        <f aca="false">IFERROR(G191/F191,"")</f>
        <v>0</v>
      </c>
    </row>
    <row r="192" customFormat="false" ht="15" hidden="false" customHeight="false" outlineLevel="0" collapsed="false">
      <c r="A192" s="31" t="s">
        <v>48</v>
      </c>
      <c r="B192" s="31" t="s">
        <v>427</v>
      </c>
      <c r="C192" s="14" t="n">
        <f aca="false">COUNTIFS('Recruiter Activity'!$B$4:$B$804,A192,'Recruiter Activity'!$C$4:$C$804,B192)</f>
        <v>1</v>
      </c>
      <c r="D192" s="14" t="n">
        <f aca="false">SUMIFS('Recruiter Activity'!$E$4:$E$804,'Recruiter Activity'!$B$4:$B$804,A192,'Recruiter Activity'!$C$4:$C$804,B192)</f>
        <v>0</v>
      </c>
      <c r="E192" s="14" t="n">
        <f aca="false">SUMIFS('Recruiter Activity'!$F$4:$F$804,'Recruiter Activity'!$B$4:$B$804,A192,'Recruiter Activity'!$C$4:$C$804,B192)</f>
        <v>0</v>
      </c>
      <c r="F192" s="14" t="n">
        <f aca="false">SUMIFS('Recruiter Activity'!$G$4:$G$804,'Recruiter Activity'!$B$4:$B$804,A192,'Recruiter Activity'!$C$4:$C$804,B192)</f>
        <v>5</v>
      </c>
      <c r="G192" s="14" t="n">
        <f aca="false">SUMIFS('Recruiter Activity'!$H$4:$H$804,'Recruiter Activity'!$B$4:$B$804,A192,'Recruiter Activity'!$C$4:$C$804,B192)</f>
        <v>0</v>
      </c>
      <c r="H192" s="16" t="n">
        <f aca="false">IFERROR(G192/F192,"")</f>
        <v>0</v>
      </c>
    </row>
    <row r="193" customFormat="false" ht="15" hidden="false" customHeight="false" outlineLevel="0" collapsed="false">
      <c r="A193" s="31" t="s">
        <v>48</v>
      </c>
      <c r="B193" s="31" t="s">
        <v>428</v>
      </c>
      <c r="C193" s="14" t="n">
        <f aca="false">COUNTIFS('Recruiter Activity'!$B$4:$B$804,A193,'Recruiter Activity'!$C$4:$C$804,B193)</f>
        <v>1</v>
      </c>
      <c r="D193" s="14" t="n">
        <f aca="false">SUMIFS('Recruiter Activity'!$E$4:$E$804,'Recruiter Activity'!$B$4:$B$804,A193,'Recruiter Activity'!$C$4:$C$804,B193)</f>
        <v>0</v>
      </c>
      <c r="E193" s="14" t="n">
        <f aca="false">SUMIFS('Recruiter Activity'!$F$4:$F$804,'Recruiter Activity'!$B$4:$B$804,A193,'Recruiter Activity'!$C$4:$C$804,B193)</f>
        <v>0</v>
      </c>
      <c r="F193" s="14" t="n">
        <f aca="false">SUMIFS('Recruiter Activity'!$G$4:$G$804,'Recruiter Activity'!$B$4:$B$804,A193,'Recruiter Activity'!$C$4:$C$804,B193)</f>
        <v>0</v>
      </c>
      <c r="G193" s="14" t="n">
        <f aca="false">SUMIFS('Recruiter Activity'!$H$4:$H$804,'Recruiter Activity'!$B$4:$B$804,A193,'Recruiter Activity'!$C$4:$C$804,B193)</f>
        <v>0</v>
      </c>
      <c r="H193" s="16" t="str">
        <f aca="false">IFERROR(G193/F193,"")</f>
        <v/>
      </c>
    </row>
    <row r="194" customFormat="false" ht="15" hidden="false" customHeight="false" outlineLevel="0" collapsed="false">
      <c r="A194" s="31" t="s">
        <v>48</v>
      </c>
      <c r="B194" s="31" t="s">
        <v>430</v>
      </c>
      <c r="C194" s="14" t="n">
        <f aca="false">COUNTIFS('Recruiter Activity'!$B$4:$B$804,A194,'Recruiter Activity'!$C$4:$C$804,B194)</f>
        <v>1</v>
      </c>
      <c r="D194" s="14" t="n">
        <f aca="false">SUMIFS('Recruiter Activity'!$E$4:$E$804,'Recruiter Activity'!$B$4:$B$804,A194,'Recruiter Activity'!$C$4:$C$804,B194)</f>
        <v>0</v>
      </c>
      <c r="E194" s="14" t="n">
        <f aca="false">SUMIFS('Recruiter Activity'!$F$4:$F$804,'Recruiter Activity'!$B$4:$B$804,A194,'Recruiter Activity'!$C$4:$C$804,B194)</f>
        <v>0</v>
      </c>
      <c r="F194" s="14" t="n">
        <f aca="false">SUMIFS('Recruiter Activity'!$G$4:$G$804,'Recruiter Activity'!$B$4:$B$804,A194,'Recruiter Activity'!$C$4:$C$804,B194)</f>
        <v>0</v>
      </c>
      <c r="G194" s="14" t="n">
        <f aca="false">SUMIFS('Recruiter Activity'!$H$4:$H$804,'Recruiter Activity'!$B$4:$B$804,A194,'Recruiter Activity'!$C$4:$C$804,B194)</f>
        <v>0</v>
      </c>
      <c r="H194" s="16" t="str">
        <f aca="false">IFERROR(G194/F194,"")</f>
        <v/>
      </c>
    </row>
    <row r="195" customFormat="false" ht="15" hidden="false" customHeight="false" outlineLevel="0" collapsed="false">
      <c r="A195" s="31" t="s">
        <v>48</v>
      </c>
      <c r="B195" s="31" t="s">
        <v>351</v>
      </c>
      <c r="C195" s="14" t="n">
        <f aca="false">COUNTIFS('Recruiter Activity'!$B$4:$B$804,A195,'Recruiter Activity'!$C$4:$C$804,B195)</f>
        <v>1</v>
      </c>
      <c r="D195" s="14" t="n">
        <f aca="false">SUMIFS('Recruiter Activity'!$E$4:$E$804,'Recruiter Activity'!$B$4:$B$804,A195,'Recruiter Activity'!$C$4:$C$804,B195)</f>
        <v>0</v>
      </c>
      <c r="E195" s="14" t="n">
        <f aca="false">SUMIFS('Recruiter Activity'!$F$4:$F$804,'Recruiter Activity'!$B$4:$B$804,A195,'Recruiter Activity'!$C$4:$C$804,B195)</f>
        <v>0</v>
      </c>
      <c r="F195" s="14" t="n">
        <f aca="false">SUMIFS('Recruiter Activity'!$G$4:$G$804,'Recruiter Activity'!$B$4:$B$804,A195,'Recruiter Activity'!$C$4:$C$804,B195)</f>
        <v>0</v>
      </c>
      <c r="G195" s="14" t="n">
        <f aca="false">SUMIFS('Recruiter Activity'!$H$4:$H$804,'Recruiter Activity'!$B$4:$B$804,A195,'Recruiter Activity'!$C$4:$C$804,B195)</f>
        <v>0</v>
      </c>
      <c r="H195" s="16" t="str">
        <f aca="false">IFERROR(G195/F195,"")</f>
        <v/>
      </c>
    </row>
    <row r="196" customFormat="false" ht="15" hidden="false" customHeight="false" outlineLevel="0" collapsed="false">
      <c r="A196" s="31" t="s">
        <v>48</v>
      </c>
      <c r="B196" s="31" t="s">
        <v>432</v>
      </c>
      <c r="C196" s="14" t="n">
        <f aca="false">COUNTIFS('Recruiter Activity'!$B$4:$B$804,A196,'Recruiter Activity'!$C$4:$C$804,B196)</f>
        <v>1</v>
      </c>
      <c r="D196" s="14" t="n">
        <f aca="false">SUMIFS('Recruiter Activity'!$E$4:$E$804,'Recruiter Activity'!$B$4:$B$804,A196,'Recruiter Activity'!$C$4:$C$804,B196)</f>
        <v>0</v>
      </c>
      <c r="E196" s="14" t="n">
        <f aca="false">SUMIFS('Recruiter Activity'!$F$4:$F$804,'Recruiter Activity'!$B$4:$B$804,A196,'Recruiter Activity'!$C$4:$C$804,B196)</f>
        <v>0</v>
      </c>
      <c r="F196" s="14" t="n">
        <f aca="false">SUMIFS('Recruiter Activity'!$G$4:$G$804,'Recruiter Activity'!$B$4:$B$804,A196,'Recruiter Activity'!$C$4:$C$804,B196)</f>
        <v>31</v>
      </c>
      <c r="G196" s="14" t="n">
        <f aca="false">SUMIFS('Recruiter Activity'!$H$4:$H$804,'Recruiter Activity'!$B$4:$B$804,A196,'Recruiter Activity'!$C$4:$C$804,B196)</f>
        <v>0</v>
      </c>
      <c r="H196" s="16" t="n">
        <f aca="false">IFERROR(G196/F196,"")</f>
        <v>0</v>
      </c>
    </row>
    <row r="197" customFormat="false" ht="15" hidden="false" customHeight="false" outlineLevel="0" collapsed="false">
      <c r="A197" s="31" t="s">
        <v>48</v>
      </c>
      <c r="B197" s="31" t="s">
        <v>433</v>
      </c>
      <c r="C197" s="14" t="n">
        <f aca="false">COUNTIFS('Recruiter Activity'!$B$4:$B$804,A197,'Recruiter Activity'!$C$4:$C$804,B197)</f>
        <v>1</v>
      </c>
      <c r="D197" s="14" t="n">
        <f aca="false">SUMIFS('Recruiter Activity'!$E$4:$E$804,'Recruiter Activity'!$B$4:$B$804,A197,'Recruiter Activity'!$C$4:$C$804,B197)</f>
        <v>0</v>
      </c>
      <c r="E197" s="14" t="n">
        <f aca="false">SUMIFS('Recruiter Activity'!$F$4:$F$804,'Recruiter Activity'!$B$4:$B$804,A197,'Recruiter Activity'!$C$4:$C$804,B197)</f>
        <v>0</v>
      </c>
      <c r="F197" s="14" t="n">
        <f aca="false">SUMIFS('Recruiter Activity'!$G$4:$G$804,'Recruiter Activity'!$B$4:$B$804,A197,'Recruiter Activity'!$C$4:$C$804,B197)</f>
        <v>25</v>
      </c>
      <c r="G197" s="14" t="n">
        <f aca="false">SUMIFS('Recruiter Activity'!$H$4:$H$804,'Recruiter Activity'!$B$4:$B$804,A197,'Recruiter Activity'!$C$4:$C$804,B197)</f>
        <v>0</v>
      </c>
      <c r="H197" s="16" t="n">
        <f aca="false">IFERROR(G197/F197,"")</f>
        <v>0</v>
      </c>
    </row>
    <row r="198" customFormat="false" ht="15" hidden="false" customHeight="false" outlineLevel="0" collapsed="false">
      <c r="A198" s="31" t="s">
        <v>48</v>
      </c>
      <c r="B198" s="31" t="s">
        <v>127</v>
      </c>
      <c r="C198" s="14" t="n">
        <f aca="false">COUNTIFS('Recruiter Activity'!$B$4:$B$804,A198,'Recruiter Activity'!$C$4:$C$804,B198)</f>
        <v>1</v>
      </c>
      <c r="D198" s="14" t="n">
        <f aca="false">SUMIFS('Recruiter Activity'!$E$4:$E$804,'Recruiter Activity'!$B$4:$B$804,A198,'Recruiter Activity'!$C$4:$C$804,B198)</f>
        <v>0</v>
      </c>
      <c r="E198" s="14" t="n">
        <f aca="false">SUMIFS('Recruiter Activity'!$F$4:$F$804,'Recruiter Activity'!$B$4:$B$804,A198,'Recruiter Activity'!$C$4:$C$804,B198)</f>
        <v>0</v>
      </c>
      <c r="F198" s="14" t="n">
        <f aca="false">SUMIFS('Recruiter Activity'!$G$4:$G$804,'Recruiter Activity'!$B$4:$B$804,A198,'Recruiter Activity'!$C$4:$C$804,B198)</f>
        <v>0</v>
      </c>
      <c r="G198" s="14" t="n">
        <f aca="false">SUMIFS('Recruiter Activity'!$H$4:$H$804,'Recruiter Activity'!$B$4:$B$804,A198,'Recruiter Activity'!$C$4:$C$804,B198)</f>
        <v>0</v>
      </c>
      <c r="H198" s="16" t="str">
        <f aca="false">IFERROR(G198/F198,"")</f>
        <v/>
      </c>
    </row>
    <row r="199" customFormat="false" ht="15" hidden="false" customHeight="false" outlineLevel="0" collapsed="false">
      <c r="A199" s="31" t="s">
        <v>48</v>
      </c>
      <c r="B199" s="31" t="s">
        <v>435</v>
      </c>
      <c r="C199" s="14" t="n">
        <f aca="false">COUNTIFS('Recruiter Activity'!$B$4:$B$804,A199,'Recruiter Activity'!$C$4:$C$804,B199)</f>
        <v>1</v>
      </c>
      <c r="D199" s="14" t="n">
        <f aca="false">SUMIFS('Recruiter Activity'!$E$4:$E$804,'Recruiter Activity'!$B$4:$B$804,A199,'Recruiter Activity'!$C$4:$C$804,B199)</f>
        <v>0</v>
      </c>
      <c r="E199" s="14" t="n">
        <f aca="false">SUMIFS('Recruiter Activity'!$F$4:$F$804,'Recruiter Activity'!$B$4:$B$804,A199,'Recruiter Activity'!$C$4:$C$804,B199)</f>
        <v>0</v>
      </c>
      <c r="F199" s="14" t="n">
        <f aca="false">SUMIFS('Recruiter Activity'!$G$4:$G$804,'Recruiter Activity'!$B$4:$B$804,A199,'Recruiter Activity'!$C$4:$C$804,B199)</f>
        <v>50</v>
      </c>
      <c r="G199" s="14" t="n">
        <f aca="false">SUMIFS('Recruiter Activity'!$H$4:$H$804,'Recruiter Activity'!$B$4:$B$804,A199,'Recruiter Activity'!$C$4:$C$804,B199)</f>
        <v>0</v>
      </c>
      <c r="H199" s="16" t="n">
        <f aca="false">IFERROR(G199/F199,"")</f>
        <v>0</v>
      </c>
    </row>
    <row r="200" customFormat="false" ht="15" hidden="false" customHeight="false" outlineLevel="0" collapsed="false">
      <c r="A200" s="31" t="s">
        <v>48</v>
      </c>
      <c r="B200" s="31" t="s">
        <v>345</v>
      </c>
      <c r="C200" s="14" t="n">
        <f aca="false">COUNTIFS('Recruiter Activity'!$B$4:$B$804,A200,'Recruiter Activity'!$C$4:$C$804,B200)</f>
        <v>1</v>
      </c>
      <c r="D200" s="14" t="n">
        <f aca="false">SUMIFS('Recruiter Activity'!$E$4:$E$804,'Recruiter Activity'!$B$4:$B$804,A200,'Recruiter Activity'!$C$4:$C$804,B200)</f>
        <v>0</v>
      </c>
      <c r="E200" s="14" t="n">
        <f aca="false">SUMIFS('Recruiter Activity'!$F$4:$F$804,'Recruiter Activity'!$B$4:$B$804,A200,'Recruiter Activity'!$C$4:$C$804,B200)</f>
        <v>0</v>
      </c>
      <c r="F200" s="14" t="n">
        <f aca="false">SUMIFS('Recruiter Activity'!$G$4:$G$804,'Recruiter Activity'!$B$4:$B$804,A200,'Recruiter Activity'!$C$4:$C$804,B200)</f>
        <v>0</v>
      </c>
      <c r="G200" s="14" t="n">
        <f aca="false">SUMIFS('Recruiter Activity'!$H$4:$H$804,'Recruiter Activity'!$B$4:$B$804,A200,'Recruiter Activity'!$C$4:$C$804,B200)</f>
        <v>0</v>
      </c>
      <c r="H200" s="16" t="str">
        <f aca="false">IFERROR(G200/F200,"")</f>
        <v/>
      </c>
    </row>
    <row r="201" customFormat="false" ht="15" hidden="false" customHeight="false" outlineLevel="0" collapsed="false">
      <c r="A201" s="31" t="s">
        <v>48</v>
      </c>
      <c r="B201" s="31" t="s">
        <v>437</v>
      </c>
      <c r="C201" s="14" t="n">
        <f aca="false">COUNTIFS('Recruiter Activity'!$B$4:$B$804,A201,'Recruiter Activity'!$C$4:$C$804,B201)</f>
        <v>1</v>
      </c>
      <c r="D201" s="14" t="n">
        <f aca="false">SUMIFS('Recruiter Activity'!$E$4:$E$804,'Recruiter Activity'!$B$4:$B$804,A201,'Recruiter Activity'!$C$4:$C$804,B201)</f>
        <v>0</v>
      </c>
      <c r="E201" s="14" t="n">
        <f aca="false">SUMIFS('Recruiter Activity'!$F$4:$F$804,'Recruiter Activity'!$B$4:$B$804,A201,'Recruiter Activity'!$C$4:$C$804,B201)</f>
        <v>0</v>
      </c>
      <c r="F201" s="14" t="n">
        <f aca="false">SUMIFS('Recruiter Activity'!$G$4:$G$804,'Recruiter Activity'!$B$4:$B$804,A201,'Recruiter Activity'!$C$4:$C$804,B201)</f>
        <v>0</v>
      </c>
      <c r="G201" s="14" t="n">
        <f aca="false">SUMIFS('Recruiter Activity'!$H$4:$H$804,'Recruiter Activity'!$B$4:$B$804,A201,'Recruiter Activity'!$C$4:$C$804,B201)</f>
        <v>0</v>
      </c>
      <c r="H201" s="16" t="str">
        <f aca="false">IFERROR(G201/F201,"")</f>
        <v/>
      </c>
    </row>
    <row r="202" customFormat="false" ht="15" hidden="false" customHeight="false" outlineLevel="0" collapsed="false">
      <c r="A202" s="31" t="s">
        <v>48</v>
      </c>
      <c r="B202" s="31" t="s">
        <v>439</v>
      </c>
      <c r="C202" s="14" t="n">
        <f aca="false">COUNTIFS('Recruiter Activity'!$B$4:$B$804,A202,'Recruiter Activity'!$C$4:$C$804,B202)</f>
        <v>1</v>
      </c>
      <c r="D202" s="14" t="n">
        <f aca="false">SUMIFS('Recruiter Activity'!$E$4:$E$804,'Recruiter Activity'!$B$4:$B$804,A202,'Recruiter Activity'!$C$4:$C$804,B202)</f>
        <v>0</v>
      </c>
      <c r="E202" s="14" t="n">
        <f aca="false">SUMIFS('Recruiter Activity'!$F$4:$F$804,'Recruiter Activity'!$B$4:$B$804,A202,'Recruiter Activity'!$C$4:$C$804,B202)</f>
        <v>0</v>
      </c>
      <c r="F202" s="14" t="n">
        <f aca="false">SUMIFS('Recruiter Activity'!$G$4:$G$804,'Recruiter Activity'!$B$4:$B$804,A202,'Recruiter Activity'!$C$4:$C$804,B202)</f>
        <v>0</v>
      </c>
      <c r="G202" s="14" t="n">
        <f aca="false">SUMIFS('Recruiter Activity'!$H$4:$H$804,'Recruiter Activity'!$B$4:$B$804,A202,'Recruiter Activity'!$C$4:$C$804,B202)</f>
        <v>0</v>
      </c>
      <c r="H202" s="16" t="str">
        <f aca="false">IFERROR(G202/F202,"")</f>
        <v/>
      </c>
    </row>
    <row r="203" customFormat="false" ht="15" hidden="false" customHeight="false" outlineLevel="0" collapsed="false">
      <c r="A203" s="31" t="s">
        <v>48</v>
      </c>
      <c r="B203" s="31" t="s">
        <v>441</v>
      </c>
      <c r="C203" s="14" t="n">
        <f aca="false">COUNTIFS('Recruiter Activity'!$B$4:$B$804,A203,'Recruiter Activity'!$C$4:$C$804,B203)</f>
        <v>1</v>
      </c>
      <c r="D203" s="14" t="n">
        <f aca="false">SUMIFS('Recruiter Activity'!$E$4:$E$804,'Recruiter Activity'!$B$4:$B$804,A203,'Recruiter Activity'!$C$4:$C$804,B203)</f>
        <v>0</v>
      </c>
      <c r="E203" s="14" t="n">
        <f aca="false">SUMIFS('Recruiter Activity'!$F$4:$F$804,'Recruiter Activity'!$B$4:$B$804,A203,'Recruiter Activity'!$C$4:$C$804,B203)</f>
        <v>0</v>
      </c>
      <c r="F203" s="14" t="n">
        <f aca="false">SUMIFS('Recruiter Activity'!$G$4:$G$804,'Recruiter Activity'!$B$4:$B$804,A203,'Recruiter Activity'!$C$4:$C$804,B203)</f>
        <v>0</v>
      </c>
      <c r="G203" s="14" t="n">
        <f aca="false">SUMIFS('Recruiter Activity'!$H$4:$H$804,'Recruiter Activity'!$B$4:$B$804,A203,'Recruiter Activity'!$C$4:$C$804,B203)</f>
        <v>0</v>
      </c>
      <c r="H203" s="16" t="str">
        <f aca="false">IFERROR(G203/F203,"")</f>
        <v/>
      </c>
    </row>
    <row r="204" customFormat="false" ht="15" hidden="false" customHeight="false" outlineLevel="0" collapsed="false">
      <c r="A204" s="31" t="s">
        <v>48</v>
      </c>
      <c r="B204" s="31" t="s">
        <v>443</v>
      </c>
      <c r="C204" s="14" t="n">
        <f aca="false">COUNTIFS('Recruiter Activity'!$B$4:$B$804,A204,'Recruiter Activity'!$C$4:$C$804,B204)</f>
        <v>1</v>
      </c>
      <c r="D204" s="14" t="n">
        <f aca="false">SUMIFS('Recruiter Activity'!$E$4:$E$804,'Recruiter Activity'!$B$4:$B$804,A204,'Recruiter Activity'!$C$4:$C$804,B204)</f>
        <v>0</v>
      </c>
      <c r="E204" s="14" t="n">
        <f aca="false">SUMIFS('Recruiter Activity'!$F$4:$F$804,'Recruiter Activity'!$B$4:$B$804,A204,'Recruiter Activity'!$C$4:$C$804,B204)</f>
        <v>0</v>
      </c>
      <c r="F204" s="14" t="n">
        <f aca="false">SUMIFS('Recruiter Activity'!$G$4:$G$804,'Recruiter Activity'!$B$4:$B$804,A204,'Recruiter Activity'!$C$4:$C$804,B204)</f>
        <v>0</v>
      </c>
      <c r="G204" s="14" t="n">
        <f aca="false">SUMIFS('Recruiter Activity'!$H$4:$H$804,'Recruiter Activity'!$B$4:$B$804,A204,'Recruiter Activity'!$C$4:$C$804,B204)</f>
        <v>0</v>
      </c>
      <c r="H204" s="16" t="str">
        <f aca="false">IFERROR(G204/F204,"")</f>
        <v/>
      </c>
    </row>
    <row r="205" customFormat="false" ht="15" hidden="false" customHeight="false" outlineLevel="0" collapsed="false">
      <c r="A205" s="31" t="s">
        <v>48</v>
      </c>
      <c r="B205" s="31" t="s">
        <v>445</v>
      </c>
      <c r="C205" s="14" t="n">
        <f aca="false">COUNTIFS('Recruiter Activity'!$B$4:$B$804,A205,'Recruiter Activity'!$C$4:$C$804,B205)</f>
        <v>1</v>
      </c>
      <c r="D205" s="14" t="n">
        <f aca="false">SUMIFS('Recruiter Activity'!$E$4:$E$804,'Recruiter Activity'!$B$4:$B$804,A205,'Recruiter Activity'!$C$4:$C$804,B205)</f>
        <v>0</v>
      </c>
      <c r="E205" s="14" t="n">
        <f aca="false">SUMIFS('Recruiter Activity'!$F$4:$F$804,'Recruiter Activity'!$B$4:$B$804,A205,'Recruiter Activity'!$C$4:$C$804,B205)</f>
        <v>0</v>
      </c>
      <c r="F205" s="14" t="n">
        <f aca="false">SUMIFS('Recruiter Activity'!$G$4:$G$804,'Recruiter Activity'!$B$4:$B$804,A205,'Recruiter Activity'!$C$4:$C$804,B205)</f>
        <v>0</v>
      </c>
      <c r="G205" s="14" t="n">
        <f aca="false">SUMIFS('Recruiter Activity'!$H$4:$H$804,'Recruiter Activity'!$B$4:$B$804,A205,'Recruiter Activity'!$C$4:$C$804,B205)</f>
        <v>0</v>
      </c>
      <c r="H205" s="16" t="str">
        <f aca="false">IFERROR(G205/F205,"")</f>
        <v/>
      </c>
    </row>
    <row r="206" customFormat="false" ht="15" hidden="false" customHeight="false" outlineLevel="0" collapsed="false">
      <c r="A206" s="31" t="s">
        <v>48</v>
      </c>
      <c r="B206" s="31" t="s">
        <v>446</v>
      </c>
      <c r="C206" s="14" t="n">
        <f aca="false">COUNTIFS('Recruiter Activity'!$B$4:$B$804,A206,'Recruiter Activity'!$C$4:$C$804,B206)</f>
        <v>1</v>
      </c>
      <c r="D206" s="14" t="n">
        <f aca="false">SUMIFS('Recruiter Activity'!$E$4:$E$804,'Recruiter Activity'!$B$4:$B$804,A206,'Recruiter Activity'!$C$4:$C$804,B206)</f>
        <v>0</v>
      </c>
      <c r="E206" s="14" t="n">
        <f aca="false">SUMIFS('Recruiter Activity'!$F$4:$F$804,'Recruiter Activity'!$B$4:$B$804,A206,'Recruiter Activity'!$C$4:$C$804,B206)</f>
        <v>0</v>
      </c>
      <c r="F206" s="14" t="n">
        <f aca="false">SUMIFS('Recruiter Activity'!$G$4:$G$804,'Recruiter Activity'!$B$4:$B$804,A206,'Recruiter Activity'!$C$4:$C$804,B206)</f>
        <v>0</v>
      </c>
      <c r="G206" s="14" t="n">
        <f aca="false">SUMIFS('Recruiter Activity'!$H$4:$H$804,'Recruiter Activity'!$B$4:$B$804,A206,'Recruiter Activity'!$C$4:$C$804,B206)</f>
        <v>0</v>
      </c>
      <c r="H206" s="16" t="str">
        <f aca="false">IFERROR(G206/F206,"")</f>
        <v/>
      </c>
    </row>
    <row r="207" customFormat="false" ht="15" hidden="false" customHeight="false" outlineLevel="0" collapsed="false">
      <c r="A207" s="31" t="s">
        <v>48</v>
      </c>
      <c r="B207" s="31" t="s">
        <v>448</v>
      </c>
      <c r="C207" s="14" t="n">
        <f aca="false">COUNTIFS('Recruiter Activity'!$B$4:$B$804,A207,'Recruiter Activity'!$C$4:$C$804,B207)</f>
        <v>1</v>
      </c>
      <c r="D207" s="14" t="n">
        <f aca="false">SUMIFS('Recruiter Activity'!$E$4:$E$804,'Recruiter Activity'!$B$4:$B$804,A207,'Recruiter Activity'!$C$4:$C$804,B207)</f>
        <v>0</v>
      </c>
      <c r="E207" s="14" t="n">
        <f aca="false">SUMIFS('Recruiter Activity'!$F$4:$F$804,'Recruiter Activity'!$B$4:$B$804,A207,'Recruiter Activity'!$C$4:$C$804,B207)</f>
        <v>0</v>
      </c>
      <c r="F207" s="14" t="n">
        <f aca="false">SUMIFS('Recruiter Activity'!$G$4:$G$804,'Recruiter Activity'!$B$4:$B$804,A207,'Recruiter Activity'!$C$4:$C$804,B207)</f>
        <v>0</v>
      </c>
      <c r="G207" s="14" t="n">
        <f aca="false">SUMIFS('Recruiter Activity'!$H$4:$H$804,'Recruiter Activity'!$B$4:$B$804,A207,'Recruiter Activity'!$C$4:$C$804,B207)</f>
        <v>0</v>
      </c>
      <c r="H207" s="16" t="str">
        <f aca="false">IFERROR(G207/F207,"")</f>
        <v/>
      </c>
    </row>
    <row r="208" customFormat="false" ht="15" hidden="false" customHeight="false" outlineLevel="0" collapsed="false">
      <c r="A208" s="31" t="s">
        <v>48</v>
      </c>
      <c r="B208" s="31" t="s">
        <v>450</v>
      </c>
      <c r="C208" s="14" t="n">
        <f aca="false">COUNTIFS('Recruiter Activity'!$B$4:$B$804,A208,'Recruiter Activity'!$C$4:$C$804,B208)</f>
        <v>1</v>
      </c>
      <c r="D208" s="14" t="n">
        <f aca="false">SUMIFS('Recruiter Activity'!$E$4:$E$804,'Recruiter Activity'!$B$4:$B$804,A208,'Recruiter Activity'!$C$4:$C$804,B208)</f>
        <v>0</v>
      </c>
      <c r="E208" s="14" t="n">
        <f aca="false">SUMIFS('Recruiter Activity'!$F$4:$F$804,'Recruiter Activity'!$B$4:$B$804,A208,'Recruiter Activity'!$C$4:$C$804,B208)</f>
        <v>0</v>
      </c>
      <c r="F208" s="14" t="n">
        <f aca="false">SUMIFS('Recruiter Activity'!$G$4:$G$804,'Recruiter Activity'!$B$4:$B$804,A208,'Recruiter Activity'!$C$4:$C$804,B208)</f>
        <v>0</v>
      </c>
      <c r="G208" s="14" t="n">
        <f aca="false">SUMIFS('Recruiter Activity'!$H$4:$H$804,'Recruiter Activity'!$B$4:$B$804,A208,'Recruiter Activity'!$C$4:$C$804,B208)</f>
        <v>0</v>
      </c>
      <c r="H208" s="16" t="str">
        <f aca="false">IFERROR(G208/F208,"")</f>
        <v/>
      </c>
    </row>
    <row r="209" customFormat="false" ht="15" hidden="false" customHeight="false" outlineLevel="0" collapsed="false">
      <c r="A209" s="31" t="s">
        <v>48</v>
      </c>
      <c r="B209" s="31" t="s">
        <v>451</v>
      </c>
      <c r="C209" s="14" t="n">
        <f aca="false">COUNTIFS('Recruiter Activity'!$B$4:$B$804,A209,'Recruiter Activity'!$C$4:$C$804,B209)</f>
        <v>1</v>
      </c>
      <c r="D209" s="14" t="n">
        <f aca="false">SUMIFS('Recruiter Activity'!$E$4:$E$804,'Recruiter Activity'!$B$4:$B$804,A209,'Recruiter Activity'!$C$4:$C$804,B209)</f>
        <v>0</v>
      </c>
      <c r="E209" s="14" t="n">
        <f aca="false">SUMIFS('Recruiter Activity'!$F$4:$F$804,'Recruiter Activity'!$B$4:$B$804,A209,'Recruiter Activity'!$C$4:$C$804,B209)</f>
        <v>0</v>
      </c>
      <c r="F209" s="14" t="n">
        <f aca="false">SUMIFS('Recruiter Activity'!$G$4:$G$804,'Recruiter Activity'!$B$4:$B$804,A209,'Recruiter Activity'!$C$4:$C$804,B209)</f>
        <v>33</v>
      </c>
      <c r="G209" s="14" t="n">
        <f aca="false">SUMIFS('Recruiter Activity'!$H$4:$H$804,'Recruiter Activity'!$B$4:$B$804,A209,'Recruiter Activity'!$C$4:$C$804,B209)</f>
        <v>0</v>
      </c>
      <c r="H209" s="16" t="n">
        <f aca="false">IFERROR(G209/F209,"")</f>
        <v>0</v>
      </c>
    </row>
    <row r="210" customFormat="false" ht="15" hidden="false" customHeight="false" outlineLevel="0" collapsed="false">
      <c r="A210" s="31" t="s">
        <v>48</v>
      </c>
      <c r="B210" s="31" t="s">
        <v>453</v>
      </c>
      <c r="C210" s="14" t="n">
        <f aca="false">COUNTIFS('Recruiter Activity'!$B$4:$B$804,A210,'Recruiter Activity'!$C$4:$C$804,B210)</f>
        <v>1</v>
      </c>
      <c r="D210" s="14" t="n">
        <f aca="false">SUMIFS('Recruiter Activity'!$E$4:$E$804,'Recruiter Activity'!$B$4:$B$804,A210,'Recruiter Activity'!$C$4:$C$804,B210)</f>
        <v>0</v>
      </c>
      <c r="E210" s="14" t="n">
        <f aca="false">SUMIFS('Recruiter Activity'!$F$4:$F$804,'Recruiter Activity'!$B$4:$B$804,A210,'Recruiter Activity'!$C$4:$C$804,B210)</f>
        <v>0</v>
      </c>
      <c r="F210" s="14" t="n">
        <f aca="false">SUMIFS('Recruiter Activity'!$G$4:$G$804,'Recruiter Activity'!$B$4:$B$804,A210,'Recruiter Activity'!$C$4:$C$804,B210)</f>
        <v>13</v>
      </c>
      <c r="G210" s="14" t="n">
        <f aca="false">SUMIFS('Recruiter Activity'!$H$4:$H$804,'Recruiter Activity'!$B$4:$B$804,A210,'Recruiter Activity'!$C$4:$C$804,B210)</f>
        <v>0</v>
      </c>
      <c r="H210" s="16" t="n">
        <f aca="false">IFERROR(G210/F210,"")</f>
        <v>0</v>
      </c>
    </row>
    <row r="211" customFormat="false" ht="15" hidden="false" customHeight="false" outlineLevel="0" collapsed="false">
      <c r="A211" s="31" t="s">
        <v>48</v>
      </c>
      <c r="B211" s="31" t="s">
        <v>455</v>
      </c>
      <c r="C211" s="14" t="n">
        <f aca="false">COUNTIFS('Recruiter Activity'!$B$4:$B$804,A211,'Recruiter Activity'!$C$4:$C$804,B211)</f>
        <v>1</v>
      </c>
      <c r="D211" s="14" t="n">
        <f aca="false">SUMIFS('Recruiter Activity'!$E$4:$E$804,'Recruiter Activity'!$B$4:$B$804,A211,'Recruiter Activity'!$C$4:$C$804,B211)</f>
        <v>0</v>
      </c>
      <c r="E211" s="14" t="n">
        <f aca="false">SUMIFS('Recruiter Activity'!$F$4:$F$804,'Recruiter Activity'!$B$4:$B$804,A211,'Recruiter Activity'!$C$4:$C$804,B211)</f>
        <v>0</v>
      </c>
      <c r="F211" s="14" t="n">
        <f aca="false">SUMIFS('Recruiter Activity'!$G$4:$G$804,'Recruiter Activity'!$B$4:$B$804,A211,'Recruiter Activity'!$C$4:$C$804,B211)</f>
        <v>24</v>
      </c>
      <c r="G211" s="14" t="n">
        <f aca="false">SUMIFS('Recruiter Activity'!$H$4:$H$804,'Recruiter Activity'!$B$4:$B$804,A211,'Recruiter Activity'!$C$4:$C$804,B211)</f>
        <v>0</v>
      </c>
      <c r="H211" s="16" t="n">
        <f aca="false">IFERROR(G211/F211,"")</f>
        <v>0</v>
      </c>
    </row>
    <row r="212" customFormat="false" ht="15" hidden="false" customHeight="false" outlineLevel="0" collapsed="false">
      <c r="A212" s="31" t="s">
        <v>48</v>
      </c>
      <c r="B212" s="31" t="s">
        <v>457</v>
      </c>
      <c r="C212" s="14" t="n">
        <f aca="false">COUNTIFS('Recruiter Activity'!$B$4:$B$804,A212,'Recruiter Activity'!$C$4:$C$804,B212)</f>
        <v>1</v>
      </c>
      <c r="D212" s="14" t="n">
        <f aca="false">SUMIFS('Recruiter Activity'!$E$4:$E$804,'Recruiter Activity'!$B$4:$B$804,A212,'Recruiter Activity'!$C$4:$C$804,B212)</f>
        <v>0</v>
      </c>
      <c r="E212" s="14" t="n">
        <f aca="false">SUMIFS('Recruiter Activity'!$F$4:$F$804,'Recruiter Activity'!$B$4:$B$804,A212,'Recruiter Activity'!$C$4:$C$804,B212)</f>
        <v>0</v>
      </c>
      <c r="F212" s="14" t="n">
        <f aca="false">SUMIFS('Recruiter Activity'!$G$4:$G$804,'Recruiter Activity'!$B$4:$B$804,A212,'Recruiter Activity'!$C$4:$C$804,B212)</f>
        <v>0</v>
      </c>
      <c r="G212" s="14" t="n">
        <f aca="false">SUMIFS('Recruiter Activity'!$H$4:$H$804,'Recruiter Activity'!$B$4:$B$804,A212,'Recruiter Activity'!$C$4:$C$804,B212)</f>
        <v>0</v>
      </c>
      <c r="H212" s="16" t="str">
        <f aca="false">IFERROR(G212/F212,"")</f>
        <v/>
      </c>
    </row>
    <row r="213" customFormat="false" ht="15" hidden="false" customHeight="false" outlineLevel="0" collapsed="false">
      <c r="A213" s="31" t="s">
        <v>48</v>
      </c>
      <c r="B213" s="31" t="s">
        <v>458</v>
      </c>
      <c r="C213" s="14" t="n">
        <f aca="false">COUNTIFS('Recruiter Activity'!$B$4:$B$804,A213,'Recruiter Activity'!$C$4:$C$804,B213)</f>
        <v>1</v>
      </c>
      <c r="D213" s="14" t="n">
        <f aca="false">SUMIFS('Recruiter Activity'!$E$4:$E$804,'Recruiter Activity'!$B$4:$B$804,A213,'Recruiter Activity'!$C$4:$C$804,B213)</f>
        <v>0</v>
      </c>
      <c r="E213" s="14" t="n">
        <f aca="false">SUMIFS('Recruiter Activity'!$F$4:$F$804,'Recruiter Activity'!$B$4:$B$804,A213,'Recruiter Activity'!$C$4:$C$804,B213)</f>
        <v>0</v>
      </c>
      <c r="F213" s="14" t="n">
        <f aca="false">SUMIFS('Recruiter Activity'!$G$4:$G$804,'Recruiter Activity'!$B$4:$B$804,A213,'Recruiter Activity'!$C$4:$C$804,B213)</f>
        <v>0</v>
      </c>
      <c r="G213" s="14" t="n">
        <f aca="false">SUMIFS('Recruiter Activity'!$H$4:$H$804,'Recruiter Activity'!$B$4:$B$804,A213,'Recruiter Activity'!$C$4:$C$804,B213)</f>
        <v>0</v>
      </c>
      <c r="H213" s="16" t="str">
        <f aca="false">IFERROR(G213/F213,"")</f>
        <v/>
      </c>
    </row>
    <row r="214" customFormat="false" ht="15" hidden="false" customHeight="false" outlineLevel="0" collapsed="false">
      <c r="A214" s="31" t="s">
        <v>48</v>
      </c>
      <c r="B214" s="31" t="s">
        <v>459</v>
      </c>
      <c r="C214" s="14" t="n">
        <f aca="false">COUNTIFS('Recruiter Activity'!$B$4:$B$804,A214,'Recruiter Activity'!$C$4:$C$804,B214)</f>
        <v>1</v>
      </c>
      <c r="D214" s="14" t="n">
        <f aca="false">SUMIFS('Recruiter Activity'!$E$4:$E$804,'Recruiter Activity'!$B$4:$B$804,A214,'Recruiter Activity'!$C$4:$C$804,B214)</f>
        <v>0</v>
      </c>
      <c r="E214" s="14" t="n">
        <f aca="false">SUMIFS('Recruiter Activity'!$F$4:$F$804,'Recruiter Activity'!$B$4:$B$804,A214,'Recruiter Activity'!$C$4:$C$804,B214)</f>
        <v>0</v>
      </c>
      <c r="F214" s="14" t="n">
        <f aca="false">SUMIFS('Recruiter Activity'!$G$4:$G$804,'Recruiter Activity'!$B$4:$B$804,A214,'Recruiter Activity'!$C$4:$C$804,B214)</f>
        <v>0</v>
      </c>
      <c r="G214" s="14" t="n">
        <f aca="false">SUMIFS('Recruiter Activity'!$H$4:$H$804,'Recruiter Activity'!$B$4:$B$804,A214,'Recruiter Activity'!$C$4:$C$804,B214)</f>
        <v>0</v>
      </c>
      <c r="H214" s="16" t="str">
        <f aca="false">IFERROR(G214/F214,"")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2026-09-23T14:32:00Z</dcterms:created>
  <dc:creator>openpyxl</dc:creator>
  <dc:description/>
  <dc:language>en-US</dc:language>
  <cp:lastModifiedBy/>
  <dcterms:modified xsi:type="dcterms:W3CDTF">2026-09-23T14:32:02Z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